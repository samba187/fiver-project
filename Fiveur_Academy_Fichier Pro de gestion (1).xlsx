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d.docs.live.net/72C8F65FFD659BE4/Documents/"/>
    </mc:Choice>
  </mc:AlternateContent>
  <xr:revisionPtr revIDLastSave="0" documentId="8_{B6D6A2FB-D74C-440C-BCA5-AAE30A1835E7}" xr6:coauthVersionLast="47" xr6:coauthVersionMax="47" xr10:uidLastSave="{00000000-0000-0000-0000-000000000000}"/>
  <bookViews>
    <workbookView xWindow="-108" yWindow="-108" windowWidth="23256" windowHeight="12456" tabRatio="500" firstSheet="1" activeTab="1" xr2:uid="{00000000-000D-0000-FFFF-FFFF00000000}"/>
  </bookViews>
  <sheets>
    <sheet name="Paramètres" sheetId="1" r:id="rId1"/>
    <sheet name="Inscriptions" sheetId="2" r:id="rId2"/>
    <sheet name="Tableau de Bord" sheetId="3" r:id="rId3"/>
    <sheet name="Rappels Paiement" sheetId="4" r:id="rId4"/>
    <sheet name="Reçu de Paiement" sheetId="5" r:id="rId5"/>
  </sheets>
  <definedNames>
    <definedName name="_xlnm.Print_Area" localSheetId="4">'Reçu de Paiement'!$A$1:$H$45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70" i="2" l="1"/>
  <c r="N38" i="2"/>
  <c r="N26" i="2"/>
  <c r="E106" i="2"/>
  <c r="N92" i="2"/>
  <c r="N93" i="2"/>
  <c r="E99" i="2"/>
  <c r="N4" i="2"/>
  <c r="N5" i="2"/>
  <c r="N6" i="2"/>
  <c r="N7" i="2"/>
  <c r="N10" i="2"/>
  <c r="N11" i="2"/>
  <c r="N12" i="2"/>
  <c r="N13" i="2"/>
  <c r="N17" i="2"/>
  <c r="N18" i="2"/>
  <c r="N19" i="2"/>
  <c r="N23" i="2"/>
  <c r="N24" i="2"/>
  <c r="N25" i="2"/>
  <c r="N27" i="2"/>
  <c r="N28" i="2"/>
  <c r="N29" i="2"/>
  <c r="N30" i="2"/>
  <c r="N31" i="2"/>
  <c r="N32" i="2"/>
  <c r="N33" i="2"/>
  <c r="N34" i="2"/>
  <c r="N35" i="2"/>
  <c r="N36" i="2"/>
  <c r="N37" i="2"/>
  <c r="N39" i="2"/>
  <c r="N40" i="2"/>
  <c r="N41" i="2"/>
  <c r="N42" i="2"/>
  <c r="N43" i="2"/>
  <c r="N44" i="2"/>
  <c r="N45" i="2"/>
  <c r="N46" i="2"/>
  <c r="N47" i="2"/>
  <c r="N48" i="2"/>
  <c r="N49" i="2"/>
  <c r="N50" i="2"/>
  <c r="N51" i="2"/>
  <c r="N52" i="2"/>
  <c r="N53" i="2"/>
  <c r="N54" i="2"/>
  <c r="N55" i="2"/>
  <c r="N56" i="2"/>
  <c r="N57" i="2"/>
  <c r="N58" i="2"/>
  <c r="N59" i="2"/>
  <c r="N60" i="2"/>
  <c r="N61" i="2"/>
  <c r="N62" i="2"/>
  <c r="N63" i="2"/>
  <c r="N65" i="2"/>
  <c r="N66" i="2"/>
  <c r="N67" i="2"/>
  <c r="N68" i="2"/>
  <c r="N69" i="2"/>
  <c r="N71" i="2"/>
  <c r="N72" i="2"/>
  <c r="N73" i="2"/>
  <c r="N74" i="2"/>
  <c r="N75" i="2"/>
  <c r="N76" i="2"/>
  <c r="N77" i="2"/>
  <c r="N80" i="2"/>
  <c r="N81" i="2"/>
  <c r="N82" i="2"/>
  <c r="N84" i="2"/>
  <c r="N85" i="2"/>
  <c r="N86" i="2"/>
  <c r="N87" i="2"/>
  <c r="N88" i="2"/>
  <c r="N90" i="2"/>
  <c r="N91" i="2"/>
  <c r="N94" i="2"/>
  <c r="N95" i="2"/>
  <c r="N96" i="2"/>
  <c r="N97" i="2"/>
  <c r="N3" i="2"/>
  <c r="E40" i="2"/>
  <c r="E38" i="2"/>
  <c r="E22" i="2"/>
  <c r="E3" i="2"/>
  <c r="K3" i="2"/>
  <c r="S3" i="2"/>
  <c r="T3" i="2"/>
  <c r="C11" i="5"/>
  <c r="E8" i="5"/>
  <c r="T30" i="2"/>
  <c r="K22" i="2"/>
  <c r="K23" i="2"/>
  <c r="K38" i="2"/>
  <c r="K40" i="2"/>
  <c r="K99" i="2"/>
  <c r="K104" i="2"/>
  <c r="K106"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D26" i="5"/>
  <c r="D25" i="5"/>
  <c r="A20" i="5"/>
  <c r="D19" i="5"/>
  <c r="D18" i="5"/>
  <c r="C14" i="5"/>
  <c r="G13" i="5"/>
  <c r="C13" i="5"/>
  <c r="C12" i="5"/>
  <c r="G11" i="5"/>
  <c r="A8" i="5"/>
  <c r="D2" i="5"/>
  <c r="J208" i="4"/>
  <c r="I208" i="4"/>
  <c r="H208" i="4"/>
  <c r="G208" i="4"/>
  <c r="F208" i="4"/>
  <c r="E208" i="4"/>
  <c r="D208" i="4"/>
  <c r="C208" i="4"/>
  <c r="B208" i="4"/>
  <c r="A208" i="4"/>
  <c r="J207" i="4"/>
  <c r="I207" i="4"/>
  <c r="H207" i="4"/>
  <c r="G207" i="4"/>
  <c r="F207" i="4"/>
  <c r="E207" i="4"/>
  <c r="D207" i="4"/>
  <c r="C207" i="4"/>
  <c r="B207" i="4"/>
  <c r="A207" i="4"/>
  <c r="J206" i="4"/>
  <c r="I206" i="4"/>
  <c r="H206" i="4"/>
  <c r="G206" i="4"/>
  <c r="F206" i="4"/>
  <c r="E206" i="4"/>
  <c r="D206" i="4"/>
  <c r="C206" i="4"/>
  <c r="B206" i="4"/>
  <c r="A206" i="4"/>
  <c r="J205" i="4"/>
  <c r="I205" i="4"/>
  <c r="H205" i="4"/>
  <c r="G205" i="4"/>
  <c r="F205" i="4"/>
  <c r="E205" i="4"/>
  <c r="D205" i="4"/>
  <c r="C205" i="4"/>
  <c r="B205" i="4"/>
  <c r="A205" i="4"/>
  <c r="J204" i="4"/>
  <c r="I204" i="4"/>
  <c r="H204" i="4"/>
  <c r="G204" i="4"/>
  <c r="F204" i="4"/>
  <c r="E204" i="4"/>
  <c r="D204" i="4"/>
  <c r="C204" i="4"/>
  <c r="B204" i="4"/>
  <c r="A204" i="4"/>
  <c r="J203" i="4"/>
  <c r="I203" i="4"/>
  <c r="H203" i="4"/>
  <c r="G203" i="4"/>
  <c r="F203" i="4"/>
  <c r="E203" i="4"/>
  <c r="D203" i="4"/>
  <c r="C203" i="4"/>
  <c r="B203" i="4"/>
  <c r="A203" i="4"/>
  <c r="J202" i="4"/>
  <c r="I202" i="4"/>
  <c r="H202" i="4"/>
  <c r="G202" i="4"/>
  <c r="F202" i="4"/>
  <c r="E202" i="4"/>
  <c r="D202" i="4"/>
  <c r="C202" i="4"/>
  <c r="B202" i="4"/>
  <c r="A202" i="4"/>
  <c r="J201" i="4"/>
  <c r="I201" i="4"/>
  <c r="H201" i="4"/>
  <c r="G201" i="4"/>
  <c r="F201" i="4"/>
  <c r="E201" i="4"/>
  <c r="D201" i="4"/>
  <c r="C201" i="4"/>
  <c r="B201" i="4"/>
  <c r="A201" i="4"/>
  <c r="J200" i="4"/>
  <c r="I200" i="4"/>
  <c r="H200" i="4"/>
  <c r="G200" i="4"/>
  <c r="F200" i="4"/>
  <c r="E200" i="4"/>
  <c r="D200" i="4"/>
  <c r="C200" i="4"/>
  <c r="B200" i="4"/>
  <c r="A200" i="4"/>
  <c r="J199" i="4"/>
  <c r="I199" i="4"/>
  <c r="H199" i="4"/>
  <c r="G199" i="4"/>
  <c r="F199" i="4"/>
  <c r="E199" i="4"/>
  <c r="D199" i="4"/>
  <c r="C199" i="4"/>
  <c r="B199" i="4"/>
  <c r="A199" i="4"/>
  <c r="J198" i="4"/>
  <c r="I198" i="4"/>
  <c r="H198" i="4"/>
  <c r="G198" i="4"/>
  <c r="F198" i="4"/>
  <c r="E198" i="4"/>
  <c r="D198" i="4"/>
  <c r="C198" i="4"/>
  <c r="B198" i="4"/>
  <c r="A198" i="4"/>
  <c r="J197" i="4"/>
  <c r="I197" i="4"/>
  <c r="H197" i="4"/>
  <c r="G197" i="4"/>
  <c r="F197" i="4"/>
  <c r="E197" i="4"/>
  <c r="D197" i="4"/>
  <c r="C197" i="4"/>
  <c r="B197" i="4"/>
  <c r="A197" i="4"/>
  <c r="J196" i="4"/>
  <c r="I196" i="4"/>
  <c r="H196" i="4"/>
  <c r="G196" i="4"/>
  <c r="F196" i="4"/>
  <c r="E196" i="4"/>
  <c r="D196" i="4"/>
  <c r="C196" i="4"/>
  <c r="B196" i="4"/>
  <c r="A196" i="4"/>
  <c r="J195" i="4"/>
  <c r="I195" i="4"/>
  <c r="H195" i="4"/>
  <c r="G195" i="4"/>
  <c r="F195" i="4"/>
  <c r="E195" i="4"/>
  <c r="D195" i="4"/>
  <c r="C195" i="4"/>
  <c r="B195" i="4"/>
  <c r="A195" i="4"/>
  <c r="J194" i="4"/>
  <c r="I194" i="4"/>
  <c r="H194" i="4"/>
  <c r="G194" i="4"/>
  <c r="F194" i="4"/>
  <c r="E194" i="4"/>
  <c r="D194" i="4"/>
  <c r="C194" i="4"/>
  <c r="B194" i="4"/>
  <c r="A194" i="4"/>
  <c r="J193" i="4"/>
  <c r="I193" i="4"/>
  <c r="H193" i="4"/>
  <c r="G193" i="4"/>
  <c r="F193" i="4"/>
  <c r="E193" i="4"/>
  <c r="D193" i="4"/>
  <c r="C193" i="4"/>
  <c r="B193" i="4"/>
  <c r="A193" i="4"/>
  <c r="J192" i="4"/>
  <c r="I192" i="4"/>
  <c r="H192" i="4"/>
  <c r="G192" i="4"/>
  <c r="F192" i="4"/>
  <c r="E192" i="4"/>
  <c r="D192" i="4"/>
  <c r="C192" i="4"/>
  <c r="B192" i="4"/>
  <c r="A192" i="4"/>
  <c r="J191" i="4"/>
  <c r="I191" i="4"/>
  <c r="H191" i="4"/>
  <c r="G191" i="4"/>
  <c r="F191" i="4"/>
  <c r="E191" i="4"/>
  <c r="D191" i="4"/>
  <c r="C191" i="4"/>
  <c r="B191" i="4"/>
  <c r="A191" i="4"/>
  <c r="J190" i="4"/>
  <c r="I190" i="4"/>
  <c r="H190" i="4"/>
  <c r="G190" i="4"/>
  <c r="F190" i="4"/>
  <c r="E190" i="4"/>
  <c r="D190" i="4"/>
  <c r="C190" i="4"/>
  <c r="B190" i="4"/>
  <c r="A190" i="4"/>
  <c r="J189" i="4"/>
  <c r="I189" i="4"/>
  <c r="H189" i="4"/>
  <c r="G189" i="4"/>
  <c r="F189" i="4"/>
  <c r="E189" i="4"/>
  <c r="D189" i="4"/>
  <c r="C189" i="4"/>
  <c r="B189" i="4"/>
  <c r="A189" i="4"/>
  <c r="J188" i="4"/>
  <c r="I188" i="4"/>
  <c r="H188" i="4"/>
  <c r="G188" i="4"/>
  <c r="F188" i="4"/>
  <c r="E188" i="4"/>
  <c r="D188" i="4"/>
  <c r="C188" i="4"/>
  <c r="B188" i="4"/>
  <c r="A188" i="4"/>
  <c r="J187" i="4"/>
  <c r="I187" i="4"/>
  <c r="H187" i="4"/>
  <c r="G187" i="4"/>
  <c r="F187" i="4"/>
  <c r="E187" i="4"/>
  <c r="D187" i="4"/>
  <c r="C187" i="4"/>
  <c r="B187" i="4"/>
  <c r="A187" i="4"/>
  <c r="J186" i="4"/>
  <c r="I186" i="4"/>
  <c r="H186" i="4"/>
  <c r="G186" i="4"/>
  <c r="F186" i="4"/>
  <c r="E186" i="4"/>
  <c r="D186" i="4"/>
  <c r="C186" i="4"/>
  <c r="B186" i="4"/>
  <c r="A186" i="4"/>
  <c r="J185" i="4"/>
  <c r="I185" i="4"/>
  <c r="H185" i="4"/>
  <c r="G185" i="4"/>
  <c r="F185" i="4"/>
  <c r="E185" i="4"/>
  <c r="D185" i="4"/>
  <c r="C185" i="4"/>
  <c r="B185" i="4"/>
  <c r="A185" i="4"/>
  <c r="J184" i="4"/>
  <c r="I184" i="4"/>
  <c r="H184" i="4"/>
  <c r="G184" i="4"/>
  <c r="F184" i="4"/>
  <c r="E184" i="4"/>
  <c r="D184" i="4"/>
  <c r="C184" i="4"/>
  <c r="B184" i="4"/>
  <c r="A184" i="4"/>
  <c r="J183" i="4"/>
  <c r="I183" i="4"/>
  <c r="H183" i="4"/>
  <c r="G183" i="4"/>
  <c r="F183" i="4"/>
  <c r="E183" i="4"/>
  <c r="D183" i="4"/>
  <c r="C183" i="4"/>
  <c r="B183" i="4"/>
  <c r="A183" i="4"/>
  <c r="J182" i="4"/>
  <c r="I182" i="4"/>
  <c r="H182" i="4"/>
  <c r="G182" i="4"/>
  <c r="F182" i="4"/>
  <c r="E182" i="4"/>
  <c r="D182" i="4"/>
  <c r="C182" i="4"/>
  <c r="B182" i="4"/>
  <c r="A182" i="4"/>
  <c r="J181" i="4"/>
  <c r="I181" i="4"/>
  <c r="H181" i="4"/>
  <c r="G181" i="4"/>
  <c r="F181" i="4"/>
  <c r="E181" i="4"/>
  <c r="D181" i="4"/>
  <c r="C181" i="4"/>
  <c r="B181" i="4"/>
  <c r="A181" i="4"/>
  <c r="J180" i="4"/>
  <c r="I180" i="4"/>
  <c r="H180" i="4"/>
  <c r="G180" i="4"/>
  <c r="F180" i="4"/>
  <c r="E180" i="4"/>
  <c r="D180" i="4"/>
  <c r="C180" i="4"/>
  <c r="B180" i="4"/>
  <c r="A180" i="4"/>
  <c r="J179" i="4"/>
  <c r="I179" i="4"/>
  <c r="H179" i="4"/>
  <c r="G179" i="4"/>
  <c r="F179" i="4"/>
  <c r="E179" i="4"/>
  <c r="D179" i="4"/>
  <c r="C179" i="4"/>
  <c r="B179" i="4"/>
  <c r="A179" i="4"/>
  <c r="J178" i="4"/>
  <c r="I178" i="4"/>
  <c r="H178" i="4"/>
  <c r="G178" i="4"/>
  <c r="F178" i="4"/>
  <c r="E178" i="4"/>
  <c r="D178" i="4"/>
  <c r="C178" i="4"/>
  <c r="B178" i="4"/>
  <c r="A178" i="4"/>
  <c r="J177" i="4"/>
  <c r="I177" i="4"/>
  <c r="H177" i="4"/>
  <c r="G177" i="4"/>
  <c r="F177" i="4"/>
  <c r="E177" i="4"/>
  <c r="D177" i="4"/>
  <c r="C177" i="4"/>
  <c r="B177" i="4"/>
  <c r="A177" i="4"/>
  <c r="J176" i="4"/>
  <c r="I176" i="4"/>
  <c r="H176" i="4"/>
  <c r="G176" i="4"/>
  <c r="F176" i="4"/>
  <c r="E176" i="4"/>
  <c r="D176" i="4"/>
  <c r="C176" i="4"/>
  <c r="B176" i="4"/>
  <c r="A176" i="4"/>
  <c r="J175" i="4"/>
  <c r="I175" i="4"/>
  <c r="H175" i="4"/>
  <c r="G175" i="4"/>
  <c r="F175" i="4"/>
  <c r="E175" i="4"/>
  <c r="D175" i="4"/>
  <c r="C175" i="4"/>
  <c r="B175" i="4"/>
  <c r="A175" i="4"/>
  <c r="J174" i="4"/>
  <c r="I174" i="4"/>
  <c r="H174" i="4"/>
  <c r="G174" i="4"/>
  <c r="F174" i="4"/>
  <c r="E174" i="4"/>
  <c r="D174" i="4"/>
  <c r="C174" i="4"/>
  <c r="B174" i="4"/>
  <c r="A174" i="4"/>
  <c r="J173" i="4"/>
  <c r="I173" i="4"/>
  <c r="H173" i="4"/>
  <c r="G173" i="4"/>
  <c r="F173" i="4"/>
  <c r="E173" i="4"/>
  <c r="D173" i="4"/>
  <c r="C173" i="4"/>
  <c r="B173" i="4"/>
  <c r="A173" i="4"/>
  <c r="J172" i="4"/>
  <c r="I172" i="4"/>
  <c r="H172" i="4"/>
  <c r="G172" i="4"/>
  <c r="F172" i="4"/>
  <c r="E172" i="4"/>
  <c r="D172" i="4"/>
  <c r="C172" i="4"/>
  <c r="B172" i="4"/>
  <c r="A172" i="4"/>
  <c r="J171" i="4"/>
  <c r="I171" i="4"/>
  <c r="H171" i="4"/>
  <c r="G171" i="4"/>
  <c r="F171" i="4"/>
  <c r="E171" i="4"/>
  <c r="D171" i="4"/>
  <c r="C171" i="4"/>
  <c r="B171" i="4"/>
  <c r="A171" i="4"/>
  <c r="J170" i="4"/>
  <c r="I170" i="4"/>
  <c r="H170" i="4"/>
  <c r="G170" i="4"/>
  <c r="F170" i="4"/>
  <c r="E170" i="4"/>
  <c r="D170" i="4"/>
  <c r="C170" i="4"/>
  <c r="B170" i="4"/>
  <c r="A170" i="4"/>
  <c r="J169" i="4"/>
  <c r="I169" i="4"/>
  <c r="H169" i="4"/>
  <c r="G169" i="4"/>
  <c r="F169" i="4"/>
  <c r="E169" i="4"/>
  <c r="D169" i="4"/>
  <c r="C169" i="4"/>
  <c r="B169" i="4"/>
  <c r="A169" i="4"/>
  <c r="J168" i="4"/>
  <c r="I168" i="4"/>
  <c r="H168" i="4"/>
  <c r="G168" i="4"/>
  <c r="F168" i="4"/>
  <c r="E168" i="4"/>
  <c r="D168" i="4"/>
  <c r="C168" i="4"/>
  <c r="B168" i="4"/>
  <c r="A168" i="4"/>
  <c r="J167" i="4"/>
  <c r="I167" i="4"/>
  <c r="H167" i="4"/>
  <c r="G167" i="4"/>
  <c r="F167" i="4"/>
  <c r="E167" i="4"/>
  <c r="D167" i="4"/>
  <c r="C167" i="4"/>
  <c r="B167" i="4"/>
  <c r="A167" i="4"/>
  <c r="J166" i="4"/>
  <c r="I166" i="4"/>
  <c r="H166" i="4"/>
  <c r="G166" i="4"/>
  <c r="F166" i="4"/>
  <c r="E166" i="4"/>
  <c r="D166" i="4"/>
  <c r="C166" i="4"/>
  <c r="B166" i="4"/>
  <c r="A166" i="4"/>
  <c r="J165" i="4"/>
  <c r="I165" i="4"/>
  <c r="H165" i="4"/>
  <c r="G165" i="4"/>
  <c r="F165" i="4"/>
  <c r="E165" i="4"/>
  <c r="D165" i="4"/>
  <c r="C165" i="4"/>
  <c r="B165" i="4"/>
  <c r="A165" i="4"/>
  <c r="J164" i="4"/>
  <c r="I164" i="4"/>
  <c r="H164" i="4"/>
  <c r="G164" i="4"/>
  <c r="F164" i="4"/>
  <c r="E164" i="4"/>
  <c r="D164" i="4"/>
  <c r="C164" i="4"/>
  <c r="B164" i="4"/>
  <c r="A164" i="4"/>
  <c r="J163" i="4"/>
  <c r="I163" i="4"/>
  <c r="H163" i="4"/>
  <c r="G163" i="4"/>
  <c r="F163" i="4"/>
  <c r="E163" i="4"/>
  <c r="D163" i="4"/>
  <c r="C163" i="4"/>
  <c r="B163" i="4"/>
  <c r="A163" i="4"/>
  <c r="J162" i="4"/>
  <c r="I162" i="4"/>
  <c r="H162" i="4"/>
  <c r="G162" i="4"/>
  <c r="F162" i="4"/>
  <c r="E162" i="4"/>
  <c r="D162" i="4"/>
  <c r="C162" i="4"/>
  <c r="B162" i="4"/>
  <c r="A162" i="4"/>
  <c r="J161" i="4"/>
  <c r="I161" i="4"/>
  <c r="H161" i="4"/>
  <c r="G161" i="4"/>
  <c r="F161" i="4"/>
  <c r="E161" i="4"/>
  <c r="D161" i="4"/>
  <c r="C161" i="4"/>
  <c r="B161" i="4"/>
  <c r="A161" i="4"/>
  <c r="J160" i="4"/>
  <c r="I160" i="4"/>
  <c r="H160" i="4"/>
  <c r="G160" i="4"/>
  <c r="F160" i="4"/>
  <c r="E160" i="4"/>
  <c r="D160" i="4"/>
  <c r="C160" i="4"/>
  <c r="B160" i="4"/>
  <c r="A160" i="4"/>
  <c r="J159" i="4"/>
  <c r="I159" i="4"/>
  <c r="H159" i="4"/>
  <c r="G159" i="4"/>
  <c r="F159" i="4"/>
  <c r="E159" i="4"/>
  <c r="D159" i="4"/>
  <c r="C159" i="4"/>
  <c r="B159" i="4"/>
  <c r="A159" i="4"/>
  <c r="J158" i="4"/>
  <c r="I158" i="4"/>
  <c r="H158" i="4"/>
  <c r="G158" i="4"/>
  <c r="F158" i="4"/>
  <c r="E158" i="4"/>
  <c r="D158" i="4"/>
  <c r="C158" i="4"/>
  <c r="B158" i="4"/>
  <c r="A158" i="4"/>
  <c r="J157" i="4"/>
  <c r="I157" i="4"/>
  <c r="H157" i="4"/>
  <c r="G157" i="4"/>
  <c r="F157" i="4"/>
  <c r="E157" i="4"/>
  <c r="D157" i="4"/>
  <c r="C157" i="4"/>
  <c r="B157" i="4"/>
  <c r="A157" i="4"/>
  <c r="J156" i="4"/>
  <c r="I156" i="4"/>
  <c r="H156" i="4"/>
  <c r="G156" i="4"/>
  <c r="F156" i="4"/>
  <c r="E156" i="4"/>
  <c r="D156" i="4"/>
  <c r="C156" i="4"/>
  <c r="B156" i="4"/>
  <c r="A156" i="4"/>
  <c r="J155" i="4"/>
  <c r="I155" i="4"/>
  <c r="H155" i="4"/>
  <c r="G155" i="4"/>
  <c r="F155" i="4"/>
  <c r="E155" i="4"/>
  <c r="D155" i="4"/>
  <c r="C155" i="4"/>
  <c r="B155" i="4"/>
  <c r="A155" i="4"/>
  <c r="J154" i="4"/>
  <c r="I154" i="4"/>
  <c r="H154" i="4"/>
  <c r="G154" i="4"/>
  <c r="F154" i="4"/>
  <c r="E154" i="4"/>
  <c r="D154" i="4"/>
  <c r="C154" i="4"/>
  <c r="B154" i="4"/>
  <c r="A154" i="4"/>
  <c r="J153" i="4"/>
  <c r="I153" i="4"/>
  <c r="H153" i="4"/>
  <c r="G153" i="4"/>
  <c r="F153" i="4"/>
  <c r="E153" i="4"/>
  <c r="D153" i="4"/>
  <c r="C153" i="4"/>
  <c r="B153" i="4"/>
  <c r="A153" i="4"/>
  <c r="J152" i="4"/>
  <c r="I152" i="4"/>
  <c r="H152" i="4"/>
  <c r="G152" i="4"/>
  <c r="F152" i="4"/>
  <c r="E152" i="4"/>
  <c r="D152" i="4"/>
  <c r="C152" i="4"/>
  <c r="B152" i="4"/>
  <c r="A152" i="4"/>
  <c r="J151" i="4"/>
  <c r="I151" i="4"/>
  <c r="H151" i="4"/>
  <c r="G151" i="4"/>
  <c r="F151" i="4"/>
  <c r="E151" i="4"/>
  <c r="D151" i="4"/>
  <c r="C151" i="4"/>
  <c r="B151" i="4"/>
  <c r="A151" i="4"/>
  <c r="J150" i="4"/>
  <c r="I150" i="4"/>
  <c r="H150" i="4"/>
  <c r="G150" i="4"/>
  <c r="F150" i="4"/>
  <c r="E150" i="4"/>
  <c r="D150" i="4"/>
  <c r="C150" i="4"/>
  <c r="B150" i="4"/>
  <c r="A150" i="4"/>
  <c r="J149" i="4"/>
  <c r="I149" i="4"/>
  <c r="H149" i="4"/>
  <c r="G149" i="4"/>
  <c r="F149" i="4"/>
  <c r="E149" i="4"/>
  <c r="D149" i="4"/>
  <c r="C149" i="4"/>
  <c r="B149" i="4"/>
  <c r="A149" i="4"/>
  <c r="J148" i="4"/>
  <c r="I148" i="4"/>
  <c r="H148" i="4"/>
  <c r="G148" i="4"/>
  <c r="F148" i="4"/>
  <c r="E148" i="4"/>
  <c r="D148" i="4"/>
  <c r="C148" i="4"/>
  <c r="B148" i="4"/>
  <c r="A148" i="4"/>
  <c r="J147" i="4"/>
  <c r="I147" i="4"/>
  <c r="H147" i="4"/>
  <c r="G147" i="4"/>
  <c r="F147" i="4"/>
  <c r="E147" i="4"/>
  <c r="D147" i="4"/>
  <c r="C147" i="4"/>
  <c r="B147" i="4"/>
  <c r="A147" i="4"/>
  <c r="J146" i="4"/>
  <c r="I146" i="4"/>
  <c r="H146" i="4"/>
  <c r="G146" i="4"/>
  <c r="F146" i="4"/>
  <c r="E146" i="4"/>
  <c r="D146" i="4"/>
  <c r="C146" i="4"/>
  <c r="B146" i="4"/>
  <c r="A146" i="4"/>
  <c r="J145" i="4"/>
  <c r="I145" i="4"/>
  <c r="H145" i="4"/>
  <c r="G145" i="4"/>
  <c r="F145" i="4"/>
  <c r="E145" i="4"/>
  <c r="D145" i="4"/>
  <c r="C145" i="4"/>
  <c r="B145" i="4"/>
  <c r="A145" i="4"/>
  <c r="J144" i="4"/>
  <c r="I144" i="4"/>
  <c r="H144" i="4"/>
  <c r="G144" i="4"/>
  <c r="F144" i="4"/>
  <c r="E144" i="4"/>
  <c r="D144" i="4"/>
  <c r="C144" i="4"/>
  <c r="B144" i="4"/>
  <c r="A144" i="4"/>
  <c r="J143" i="4"/>
  <c r="I143" i="4"/>
  <c r="H143" i="4"/>
  <c r="G143" i="4"/>
  <c r="F143" i="4"/>
  <c r="E143" i="4"/>
  <c r="D143" i="4"/>
  <c r="C143" i="4"/>
  <c r="B143" i="4"/>
  <c r="A143" i="4"/>
  <c r="J142" i="4"/>
  <c r="I142" i="4"/>
  <c r="H142" i="4"/>
  <c r="G142" i="4"/>
  <c r="F142" i="4"/>
  <c r="E142" i="4"/>
  <c r="D142" i="4"/>
  <c r="C142" i="4"/>
  <c r="B142" i="4"/>
  <c r="A142" i="4"/>
  <c r="J141" i="4"/>
  <c r="I141" i="4"/>
  <c r="H141" i="4"/>
  <c r="G141" i="4"/>
  <c r="F141" i="4"/>
  <c r="E141" i="4"/>
  <c r="D141" i="4"/>
  <c r="C141" i="4"/>
  <c r="B141" i="4"/>
  <c r="A141" i="4"/>
  <c r="J140" i="4"/>
  <c r="I140" i="4"/>
  <c r="H140" i="4"/>
  <c r="G140" i="4"/>
  <c r="F140" i="4"/>
  <c r="E140" i="4"/>
  <c r="D140" i="4"/>
  <c r="C140" i="4"/>
  <c r="B140" i="4"/>
  <c r="A140" i="4"/>
  <c r="J139" i="4"/>
  <c r="I139" i="4"/>
  <c r="H139" i="4"/>
  <c r="G139" i="4"/>
  <c r="F139" i="4"/>
  <c r="E139" i="4"/>
  <c r="D139" i="4"/>
  <c r="C139" i="4"/>
  <c r="B139" i="4"/>
  <c r="A139" i="4"/>
  <c r="J138" i="4"/>
  <c r="I138" i="4"/>
  <c r="H138" i="4"/>
  <c r="G138" i="4"/>
  <c r="F138" i="4"/>
  <c r="E138" i="4"/>
  <c r="D138" i="4"/>
  <c r="C138" i="4"/>
  <c r="B138" i="4"/>
  <c r="A138" i="4"/>
  <c r="J137" i="4"/>
  <c r="I137" i="4"/>
  <c r="H137" i="4"/>
  <c r="G137" i="4"/>
  <c r="F137" i="4"/>
  <c r="E137" i="4"/>
  <c r="D137" i="4"/>
  <c r="C137" i="4"/>
  <c r="B137" i="4"/>
  <c r="A137" i="4"/>
  <c r="J136" i="4"/>
  <c r="I136" i="4"/>
  <c r="H136" i="4"/>
  <c r="G136" i="4"/>
  <c r="F136" i="4"/>
  <c r="E136" i="4"/>
  <c r="D136" i="4"/>
  <c r="C136" i="4"/>
  <c r="B136" i="4"/>
  <c r="A136" i="4"/>
  <c r="J135" i="4"/>
  <c r="I135" i="4"/>
  <c r="H135" i="4"/>
  <c r="G135" i="4"/>
  <c r="F135" i="4"/>
  <c r="E135" i="4"/>
  <c r="D135" i="4"/>
  <c r="C135" i="4"/>
  <c r="B135" i="4"/>
  <c r="A135" i="4"/>
  <c r="J134" i="4"/>
  <c r="I134" i="4"/>
  <c r="H134" i="4"/>
  <c r="G134" i="4"/>
  <c r="F134" i="4"/>
  <c r="E134" i="4"/>
  <c r="D134" i="4"/>
  <c r="C134" i="4"/>
  <c r="B134" i="4"/>
  <c r="A134" i="4"/>
  <c r="J133" i="4"/>
  <c r="I133" i="4"/>
  <c r="H133" i="4"/>
  <c r="G133" i="4"/>
  <c r="F133" i="4"/>
  <c r="E133" i="4"/>
  <c r="D133" i="4"/>
  <c r="C133" i="4"/>
  <c r="B133" i="4"/>
  <c r="A133" i="4"/>
  <c r="J132" i="4"/>
  <c r="I132" i="4"/>
  <c r="H132" i="4"/>
  <c r="G132" i="4"/>
  <c r="F132" i="4"/>
  <c r="E132" i="4"/>
  <c r="D132" i="4"/>
  <c r="C132" i="4"/>
  <c r="B132" i="4"/>
  <c r="A132" i="4"/>
  <c r="J131" i="4"/>
  <c r="I131" i="4"/>
  <c r="H131" i="4"/>
  <c r="G131" i="4"/>
  <c r="F131" i="4"/>
  <c r="E131" i="4"/>
  <c r="D131" i="4"/>
  <c r="C131" i="4"/>
  <c r="B131" i="4"/>
  <c r="A131" i="4"/>
  <c r="J130" i="4"/>
  <c r="I130" i="4"/>
  <c r="H130" i="4"/>
  <c r="G130" i="4"/>
  <c r="F130" i="4"/>
  <c r="E130" i="4"/>
  <c r="D130" i="4"/>
  <c r="C130" i="4"/>
  <c r="B130" i="4"/>
  <c r="A130" i="4"/>
  <c r="G129" i="4"/>
  <c r="F129" i="4"/>
  <c r="E129" i="4"/>
  <c r="D129" i="4"/>
  <c r="C129" i="4"/>
  <c r="B129" i="4"/>
  <c r="A129" i="4"/>
  <c r="G128" i="4"/>
  <c r="F128" i="4"/>
  <c r="E128" i="4"/>
  <c r="D128" i="4"/>
  <c r="C128" i="4"/>
  <c r="B128" i="4"/>
  <c r="A128" i="4"/>
  <c r="G127" i="4"/>
  <c r="F127" i="4"/>
  <c r="E127" i="4"/>
  <c r="D127" i="4"/>
  <c r="C127" i="4"/>
  <c r="B127" i="4"/>
  <c r="A127" i="4"/>
  <c r="G126" i="4"/>
  <c r="F126" i="4"/>
  <c r="E126" i="4"/>
  <c r="D126" i="4"/>
  <c r="C126" i="4"/>
  <c r="B126" i="4"/>
  <c r="A126" i="4"/>
  <c r="G125" i="4"/>
  <c r="F125" i="4"/>
  <c r="E125" i="4"/>
  <c r="D125" i="4"/>
  <c r="C125" i="4"/>
  <c r="B125" i="4"/>
  <c r="A125" i="4"/>
  <c r="G124" i="4"/>
  <c r="F124" i="4"/>
  <c r="E124" i="4"/>
  <c r="D124" i="4"/>
  <c r="C124" i="4"/>
  <c r="B124" i="4"/>
  <c r="A124" i="4"/>
  <c r="G123" i="4"/>
  <c r="F123" i="4"/>
  <c r="E123" i="4"/>
  <c r="D123" i="4"/>
  <c r="C123" i="4"/>
  <c r="B123" i="4"/>
  <c r="A123" i="4"/>
  <c r="G122" i="4"/>
  <c r="F122" i="4"/>
  <c r="E122" i="4"/>
  <c r="D122" i="4"/>
  <c r="C122" i="4"/>
  <c r="B122" i="4"/>
  <c r="A122" i="4"/>
  <c r="G121" i="4"/>
  <c r="F121" i="4"/>
  <c r="E121" i="4"/>
  <c r="D121" i="4"/>
  <c r="C121" i="4"/>
  <c r="B121" i="4"/>
  <c r="A121" i="4"/>
  <c r="G120" i="4"/>
  <c r="F120" i="4"/>
  <c r="E120" i="4"/>
  <c r="D120" i="4"/>
  <c r="C120" i="4"/>
  <c r="B120" i="4"/>
  <c r="A120" i="4"/>
  <c r="G119" i="4"/>
  <c r="F119" i="4"/>
  <c r="E119" i="4"/>
  <c r="D119" i="4"/>
  <c r="C119" i="4"/>
  <c r="B119" i="4"/>
  <c r="A119" i="4"/>
  <c r="G118" i="4"/>
  <c r="F118" i="4"/>
  <c r="E118" i="4"/>
  <c r="D118" i="4"/>
  <c r="C118" i="4"/>
  <c r="B118" i="4"/>
  <c r="A118" i="4"/>
  <c r="G117" i="4"/>
  <c r="F117" i="4"/>
  <c r="E117" i="4"/>
  <c r="D117" i="4"/>
  <c r="C117" i="4"/>
  <c r="B117" i="4"/>
  <c r="A117" i="4"/>
  <c r="G116" i="4"/>
  <c r="F116" i="4"/>
  <c r="E116" i="4"/>
  <c r="D116" i="4"/>
  <c r="C116" i="4"/>
  <c r="B116" i="4"/>
  <c r="A116" i="4"/>
  <c r="G115" i="4"/>
  <c r="F115" i="4"/>
  <c r="E115" i="4"/>
  <c r="D115" i="4"/>
  <c r="C115" i="4"/>
  <c r="B115" i="4"/>
  <c r="A115" i="4"/>
  <c r="G114" i="4"/>
  <c r="F114" i="4"/>
  <c r="E114" i="4"/>
  <c r="D114" i="4"/>
  <c r="C114" i="4"/>
  <c r="B114" i="4"/>
  <c r="A114" i="4"/>
  <c r="G113" i="4"/>
  <c r="F113" i="4"/>
  <c r="E113" i="4"/>
  <c r="D113" i="4"/>
  <c r="C113" i="4"/>
  <c r="B113" i="4"/>
  <c r="A113" i="4"/>
  <c r="G112" i="4"/>
  <c r="F112" i="4"/>
  <c r="E112" i="4"/>
  <c r="D112" i="4"/>
  <c r="C112" i="4"/>
  <c r="B112" i="4"/>
  <c r="A112" i="4"/>
  <c r="G111" i="4"/>
  <c r="F111" i="4"/>
  <c r="E111" i="4"/>
  <c r="D111" i="4"/>
  <c r="C111" i="4"/>
  <c r="B111" i="4"/>
  <c r="A111" i="4"/>
  <c r="G110" i="4"/>
  <c r="F110" i="4"/>
  <c r="E110" i="4"/>
  <c r="D110" i="4"/>
  <c r="C110" i="4"/>
  <c r="B110" i="4"/>
  <c r="A110" i="4"/>
  <c r="G109" i="4"/>
  <c r="F109" i="4"/>
  <c r="E109" i="4"/>
  <c r="D109" i="4"/>
  <c r="C109" i="4"/>
  <c r="B109" i="4"/>
  <c r="A109" i="4"/>
  <c r="G108" i="4"/>
  <c r="F108" i="4"/>
  <c r="E108" i="4"/>
  <c r="D108" i="4"/>
  <c r="C108" i="4"/>
  <c r="B108" i="4"/>
  <c r="A108" i="4"/>
  <c r="G107" i="4"/>
  <c r="F107" i="4"/>
  <c r="E107" i="4"/>
  <c r="D107" i="4"/>
  <c r="C107" i="4"/>
  <c r="B107" i="4"/>
  <c r="A107" i="4"/>
  <c r="G106" i="4"/>
  <c r="F106" i="4"/>
  <c r="E106" i="4"/>
  <c r="D106" i="4"/>
  <c r="C106" i="4"/>
  <c r="B106" i="4"/>
  <c r="A106" i="4"/>
  <c r="G105" i="4"/>
  <c r="F105" i="4"/>
  <c r="E105" i="4"/>
  <c r="D105" i="4"/>
  <c r="C105" i="4"/>
  <c r="B105" i="4"/>
  <c r="A105" i="4"/>
  <c r="G104" i="4"/>
  <c r="F104" i="4"/>
  <c r="E104" i="4"/>
  <c r="D104" i="4"/>
  <c r="C104" i="4"/>
  <c r="B104" i="4"/>
  <c r="A104" i="4"/>
  <c r="G103" i="4"/>
  <c r="F103" i="4"/>
  <c r="E103" i="4"/>
  <c r="D103" i="4"/>
  <c r="C103" i="4"/>
  <c r="B103" i="4"/>
  <c r="A103" i="4"/>
  <c r="G102" i="4"/>
  <c r="F102" i="4"/>
  <c r="E102" i="4"/>
  <c r="D102" i="4"/>
  <c r="C102" i="4"/>
  <c r="B102" i="4"/>
  <c r="A102" i="4"/>
  <c r="G101" i="4"/>
  <c r="F101" i="4"/>
  <c r="E101" i="4"/>
  <c r="D101" i="4"/>
  <c r="C101" i="4"/>
  <c r="B101" i="4"/>
  <c r="A101" i="4"/>
  <c r="G100" i="4"/>
  <c r="F100" i="4"/>
  <c r="E100" i="4"/>
  <c r="D100" i="4"/>
  <c r="C100" i="4"/>
  <c r="B100" i="4"/>
  <c r="A100" i="4"/>
  <c r="G99" i="4"/>
  <c r="F99" i="4"/>
  <c r="E99" i="4"/>
  <c r="D99" i="4"/>
  <c r="C99" i="4"/>
  <c r="B99" i="4"/>
  <c r="A99" i="4"/>
  <c r="G98" i="4"/>
  <c r="F98" i="4"/>
  <c r="E98" i="4"/>
  <c r="D98" i="4"/>
  <c r="C98" i="4"/>
  <c r="B98" i="4"/>
  <c r="A98" i="4"/>
  <c r="G97" i="4"/>
  <c r="F97" i="4"/>
  <c r="E97" i="4"/>
  <c r="D97" i="4"/>
  <c r="C97" i="4"/>
  <c r="B97" i="4"/>
  <c r="A97" i="4"/>
  <c r="G96" i="4"/>
  <c r="F96" i="4"/>
  <c r="E96" i="4"/>
  <c r="D96" i="4"/>
  <c r="C96" i="4"/>
  <c r="B96" i="4"/>
  <c r="A96" i="4"/>
  <c r="G95" i="4"/>
  <c r="F95" i="4"/>
  <c r="E95" i="4"/>
  <c r="D95" i="4"/>
  <c r="C95" i="4"/>
  <c r="B95" i="4"/>
  <c r="A95" i="4"/>
  <c r="G94" i="4"/>
  <c r="F94" i="4"/>
  <c r="E94" i="4"/>
  <c r="D94" i="4"/>
  <c r="C94" i="4"/>
  <c r="B94" i="4"/>
  <c r="A94" i="4"/>
  <c r="G93" i="4"/>
  <c r="F93" i="4"/>
  <c r="E93" i="4"/>
  <c r="D93" i="4"/>
  <c r="C93" i="4"/>
  <c r="B93" i="4"/>
  <c r="A93" i="4"/>
  <c r="G92" i="4"/>
  <c r="F92" i="4"/>
  <c r="E92" i="4"/>
  <c r="D92" i="4"/>
  <c r="C92" i="4"/>
  <c r="B92" i="4"/>
  <c r="A92" i="4"/>
  <c r="G91" i="4"/>
  <c r="F91" i="4"/>
  <c r="E91" i="4"/>
  <c r="D91" i="4"/>
  <c r="C91" i="4"/>
  <c r="B91" i="4"/>
  <c r="A91" i="4"/>
  <c r="G90" i="4"/>
  <c r="F90" i="4"/>
  <c r="E90" i="4"/>
  <c r="D90" i="4"/>
  <c r="C90" i="4"/>
  <c r="B90" i="4"/>
  <c r="A90" i="4"/>
  <c r="G89" i="4"/>
  <c r="F89" i="4"/>
  <c r="E89" i="4"/>
  <c r="D89" i="4"/>
  <c r="C89" i="4"/>
  <c r="B89" i="4"/>
  <c r="A89" i="4"/>
  <c r="G88" i="4"/>
  <c r="F88" i="4"/>
  <c r="E88" i="4"/>
  <c r="D88" i="4"/>
  <c r="C88" i="4"/>
  <c r="B88" i="4"/>
  <c r="A88" i="4"/>
  <c r="G87" i="4"/>
  <c r="F87" i="4"/>
  <c r="E87" i="4"/>
  <c r="D87" i="4"/>
  <c r="C87" i="4"/>
  <c r="B87" i="4"/>
  <c r="A87" i="4"/>
  <c r="G86" i="4"/>
  <c r="F86" i="4"/>
  <c r="E86" i="4"/>
  <c r="D86" i="4"/>
  <c r="C86" i="4"/>
  <c r="B86" i="4"/>
  <c r="A86" i="4"/>
  <c r="G85" i="4"/>
  <c r="F85" i="4"/>
  <c r="E85" i="4"/>
  <c r="D85" i="4"/>
  <c r="C85" i="4"/>
  <c r="B85" i="4"/>
  <c r="A85" i="4"/>
  <c r="G84" i="4"/>
  <c r="F84" i="4"/>
  <c r="E84" i="4"/>
  <c r="D84" i="4"/>
  <c r="C84" i="4"/>
  <c r="B84" i="4"/>
  <c r="A84" i="4"/>
  <c r="G83" i="4"/>
  <c r="F83" i="4"/>
  <c r="E83" i="4"/>
  <c r="D83" i="4"/>
  <c r="C83" i="4"/>
  <c r="B83" i="4"/>
  <c r="A83" i="4"/>
  <c r="G82" i="4"/>
  <c r="F82" i="4"/>
  <c r="E82" i="4"/>
  <c r="D82" i="4"/>
  <c r="C82" i="4"/>
  <c r="B82" i="4"/>
  <c r="A82" i="4"/>
  <c r="G81" i="4"/>
  <c r="F81" i="4"/>
  <c r="E81" i="4"/>
  <c r="D81" i="4"/>
  <c r="C81" i="4"/>
  <c r="B81" i="4"/>
  <c r="A81" i="4"/>
  <c r="G80" i="4"/>
  <c r="F80" i="4"/>
  <c r="E80" i="4"/>
  <c r="D80" i="4"/>
  <c r="C80" i="4"/>
  <c r="B80" i="4"/>
  <c r="A80" i="4"/>
  <c r="G79" i="4"/>
  <c r="F79" i="4"/>
  <c r="E79" i="4"/>
  <c r="D79" i="4"/>
  <c r="C79" i="4"/>
  <c r="B79" i="4"/>
  <c r="A79" i="4"/>
  <c r="G78" i="4"/>
  <c r="F78" i="4"/>
  <c r="E78" i="4"/>
  <c r="D78" i="4"/>
  <c r="C78" i="4"/>
  <c r="B78" i="4"/>
  <c r="A78" i="4"/>
  <c r="G77" i="4"/>
  <c r="F77" i="4"/>
  <c r="E77" i="4"/>
  <c r="D77" i="4"/>
  <c r="C77" i="4"/>
  <c r="B77" i="4"/>
  <c r="A77" i="4"/>
  <c r="G76" i="4"/>
  <c r="F76" i="4"/>
  <c r="E76" i="4"/>
  <c r="D76" i="4"/>
  <c r="C76" i="4"/>
  <c r="B76" i="4"/>
  <c r="A76" i="4"/>
  <c r="G75" i="4"/>
  <c r="F75" i="4"/>
  <c r="E75" i="4"/>
  <c r="D75" i="4"/>
  <c r="C75" i="4"/>
  <c r="B75" i="4"/>
  <c r="A75" i="4"/>
  <c r="G74" i="4"/>
  <c r="F74" i="4"/>
  <c r="E74" i="4"/>
  <c r="D74" i="4"/>
  <c r="C74" i="4"/>
  <c r="B74" i="4"/>
  <c r="A74" i="4"/>
  <c r="G73" i="4"/>
  <c r="F73" i="4"/>
  <c r="E73" i="4"/>
  <c r="D73" i="4"/>
  <c r="C73" i="4"/>
  <c r="B73" i="4"/>
  <c r="A73" i="4"/>
  <c r="G72" i="4"/>
  <c r="F72" i="4"/>
  <c r="E72" i="4"/>
  <c r="D72" i="4"/>
  <c r="C72" i="4"/>
  <c r="B72" i="4"/>
  <c r="A72" i="4"/>
  <c r="G71" i="4"/>
  <c r="F71" i="4"/>
  <c r="E71" i="4"/>
  <c r="D71" i="4"/>
  <c r="C71" i="4"/>
  <c r="B71" i="4"/>
  <c r="A71" i="4"/>
  <c r="G70" i="4"/>
  <c r="F70" i="4"/>
  <c r="E70" i="4"/>
  <c r="D70" i="4"/>
  <c r="C70" i="4"/>
  <c r="B70" i="4"/>
  <c r="A70" i="4"/>
  <c r="G69" i="4"/>
  <c r="F69" i="4"/>
  <c r="E69" i="4"/>
  <c r="D69" i="4"/>
  <c r="C69" i="4"/>
  <c r="B69" i="4"/>
  <c r="A69" i="4"/>
  <c r="G68" i="4"/>
  <c r="F68" i="4"/>
  <c r="E68" i="4"/>
  <c r="D68" i="4"/>
  <c r="C68" i="4"/>
  <c r="B68" i="4"/>
  <c r="A68" i="4"/>
  <c r="G67" i="4"/>
  <c r="F67" i="4"/>
  <c r="E67" i="4"/>
  <c r="D67" i="4"/>
  <c r="C67" i="4"/>
  <c r="B67" i="4"/>
  <c r="A67" i="4"/>
  <c r="G66" i="4"/>
  <c r="F66" i="4"/>
  <c r="E66" i="4"/>
  <c r="D66" i="4"/>
  <c r="C66" i="4"/>
  <c r="B66" i="4"/>
  <c r="A66" i="4"/>
  <c r="G65" i="4"/>
  <c r="F65" i="4"/>
  <c r="E65" i="4"/>
  <c r="D65" i="4"/>
  <c r="C65" i="4"/>
  <c r="B65" i="4"/>
  <c r="A65" i="4"/>
  <c r="G64" i="4"/>
  <c r="F64" i="4"/>
  <c r="E64" i="4"/>
  <c r="D64" i="4"/>
  <c r="C64" i="4"/>
  <c r="B64" i="4"/>
  <c r="A64" i="4"/>
  <c r="G63" i="4"/>
  <c r="F63" i="4"/>
  <c r="E63" i="4"/>
  <c r="D63" i="4"/>
  <c r="C63" i="4"/>
  <c r="B63" i="4"/>
  <c r="A63" i="4"/>
  <c r="G62" i="4"/>
  <c r="F62" i="4"/>
  <c r="E62" i="4"/>
  <c r="D62" i="4"/>
  <c r="C62" i="4"/>
  <c r="B62" i="4"/>
  <c r="A62" i="4"/>
  <c r="G61" i="4"/>
  <c r="F61" i="4"/>
  <c r="E61" i="4"/>
  <c r="D61" i="4"/>
  <c r="C61" i="4"/>
  <c r="B61" i="4"/>
  <c r="A61" i="4"/>
  <c r="G60" i="4"/>
  <c r="F60" i="4"/>
  <c r="E60" i="4"/>
  <c r="D60" i="4"/>
  <c r="C60" i="4"/>
  <c r="B60" i="4"/>
  <c r="A60" i="4"/>
  <c r="G59" i="4"/>
  <c r="F59" i="4"/>
  <c r="E59" i="4"/>
  <c r="D59" i="4"/>
  <c r="C59" i="4"/>
  <c r="B59" i="4"/>
  <c r="A59" i="4"/>
  <c r="G58" i="4"/>
  <c r="F58" i="4"/>
  <c r="E58" i="4"/>
  <c r="D58" i="4"/>
  <c r="C58" i="4"/>
  <c r="B58" i="4"/>
  <c r="A58" i="4"/>
  <c r="G57" i="4"/>
  <c r="F57" i="4"/>
  <c r="E57" i="4"/>
  <c r="D57" i="4"/>
  <c r="C57" i="4"/>
  <c r="B57" i="4"/>
  <c r="A57" i="4"/>
  <c r="G56" i="4"/>
  <c r="F56" i="4"/>
  <c r="E56" i="4"/>
  <c r="D56" i="4"/>
  <c r="C56" i="4"/>
  <c r="B56" i="4"/>
  <c r="A56" i="4"/>
  <c r="G55" i="4"/>
  <c r="F55" i="4"/>
  <c r="E55" i="4"/>
  <c r="D55" i="4"/>
  <c r="C55" i="4"/>
  <c r="B55" i="4"/>
  <c r="A55" i="4"/>
  <c r="G54" i="4"/>
  <c r="F54" i="4"/>
  <c r="E54" i="4"/>
  <c r="D54" i="4"/>
  <c r="C54" i="4"/>
  <c r="B54" i="4"/>
  <c r="A54" i="4"/>
  <c r="G53" i="4"/>
  <c r="F53" i="4"/>
  <c r="E53" i="4"/>
  <c r="D53" i="4"/>
  <c r="C53" i="4"/>
  <c r="B53" i="4"/>
  <c r="A53" i="4"/>
  <c r="G52" i="4"/>
  <c r="F52" i="4"/>
  <c r="E52" i="4"/>
  <c r="D52" i="4"/>
  <c r="C52" i="4"/>
  <c r="B52" i="4"/>
  <c r="A52" i="4"/>
  <c r="G51" i="4"/>
  <c r="F51" i="4"/>
  <c r="E51" i="4"/>
  <c r="D51" i="4"/>
  <c r="C51" i="4"/>
  <c r="B51" i="4"/>
  <c r="A51" i="4"/>
  <c r="G50" i="4"/>
  <c r="F50" i="4"/>
  <c r="E50" i="4"/>
  <c r="D50" i="4"/>
  <c r="C50" i="4"/>
  <c r="B50" i="4"/>
  <c r="A50" i="4"/>
  <c r="G49" i="4"/>
  <c r="F49" i="4"/>
  <c r="E49" i="4"/>
  <c r="D49" i="4"/>
  <c r="C49" i="4"/>
  <c r="B49" i="4"/>
  <c r="A49" i="4"/>
  <c r="G48" i="4"/>
  <c r="F48" i="4"/>
  <c r="E48" i="4"/>
  <c r="D48" i="4"/>
  <c r="C48" i="4"/>
  <c r="B48" i="4"/>
  <c r="A48" i="4"/>
  <c r="G47" i="4"/>
  <c r="F47" i="4"/>
  <c r="E47" i="4"/>
  <c r="D47" i="4"/>
  <c r="C47" i="4"/>
  <c r="B47" i="4"/>
  <c r="A47" i="4"/>
  <c r="G46" i="4"/>
  <c r="F46" i="4"/>
  <c r="E46" i="4"/>
  <c r="D46" i="4"/>
  <c r="C46" i="4"/>
  <c r="B46" i="4"/>
  <c r="A46" i="4"/>
  <c r="G45" i="4"/>
  <c r="F45" i="4"/>
  <c r="E45" i="4"/>
  <c r="D45" i="4"/>
  <c r="C45" i="4"/>
  <c r="B45" i="4"/>
  <c r="A45" i="4"/>
  <c r="G44" i="4"/>
  <c r="F44" i="4"/>
  <c r="E44" i="4"/>
  <c r="D44" i="4"/>
  <c r="C44" i="4"/>
  <c r="B44" i="4"/>
  <c r="A44" i="4"/>
  <c r="G43" i="4"/>
  <c r="F43" i="4"/>
  <c r="E43" i="4"/>
  <c r="D43" i="4"/>
  <c r="C43" i="4"/>
  <c r="B43" i="4"/>
  <c r="A43" i="4"/>
  <c r="G42" i="4"/>
  <c r="F42" i="4"/>
  <c r="E42" i="4"/>
  <c r="D42" i="4"/>
  <c r="C42" i="4"/>
  <c r="B42" i="4"/>
  <c r="A42" i="4"/>
  <c r="G41" i="4"/>
  <c r="F41" i="4"/>
  <c r="E41" i="4"/>
  <c r="D41" i="4"/>
  <c r="C41" i="4"/>
  <c r="B41" i="4"/>
  <c r="A41" i="4"/>
  <c r="G40" i="4"/>
  <c r="F40" i="4"/>
  <c r="E40" i="4"/>
  <c r="D40" i="4"/>
  <c r="C40" i="4"/>
  <c r="B40" i="4"/>
  <c r="A40" i="4"/>
  <c r="G39" i="4"/>
  <c r="F39" i="4"/>
  <c r="E39" i="4"/>
  <c r="D39" i="4"/>
  <c r="C39" i="4"/>
  <c r="B39" i="4"/>
  <c r="A39" i="4"/>
  <c r="G38" i="4"/>
  <c r="F38" i="4"/>
  <c r="E38" i="4"/>
  <c r="D38" i="4"/>
  <c r="C38" i="4"/>
  <c r="B38" i="4"/>
  <c r="A38" i="4"/>
  <c r="G37" i="4"/>
  <c r="F37" i="4"/>
  <c r="E37" i="4"/>
  <c r="D37" i="4"/>
  <c r="C37" i="4"/>
  <c r="B37" i="4"/>
  <c r="A37" i="4"/>
  <c r="G36" i="4"/>
  <c r="F36" i="4"/>
  <c r="E36" i="4"/>
  <c r="D36" i="4"/>
  <c r="C36" i="4"/>
  <c r="B36" i="4"/>
  <c r="A36" i="4"/>
  <c r="G35" i="4"/>
  <c r="F35" i="4"/>
  <c r="E35" i="4"/>
  <c r="D35" i="4"/>
  <c r="C35" i="4"/>
  <c r="B35" i="4"/>
  <c r="A35" i="4"/>
  <c r="G34" i="4"/>
  <c r="F34" i="4"/>
  <c r="E34" i="4"/>
  <c r="D34" i="4"/>
  <c r="C34" i="4"/>
  <c r="B34" i="4"/>
  <c r="A34" i="4"/>
  <c r="G33" i="4"/>
  <c r="F33" i="4"/>
  <c r="E33" i="4"/>
  <c r="D33" i="4"/>
  <c r="C33" i="4"/>
  <c r="B33" i="4"/>
  <c r="A33" i="4"/>
  <c r="G32" i="4"/>
  <c r="F32" i="4"/>
  <c r="E32" i="4"/>
  <c r="D32" i="4"/>
  <c r="C32" i="4"/>
  <c r="B32" i="4"/>
  <c r="A32" i="4"/>
  <c r="G31" i="4"/>
  <c r="F31" i="4"/>
  <c r="E31" i="4"/>
  <c r="D31" i="4"/>
  <c r="C31" i="4"/>
  <c r="B31" i="4"/>
  <c r="A31" i="4"/>
  <c r="G30" i="4"/>
  <c r="F30" i="4"/>
  <c r="E30" i="4"/>
  <c r="D30" i="4"/>
  <c r="C30" i="4"/>
  <c r="B30" i="4"/>
  <c r="A30" i="4"/>
  <c r="G29" i="4"/>
  <c r="F29" i="4"/>
  <c r="E29" i="4"/>
  <c r="D29" i="4"/>
  <c r="C29" i="4"/>
  <c r="B29" i="4"/>
  <c r="A29" i="4"/>
  <c r="G28" i="4"/>
  <c r="F28" i="4"/>
  <c r="E28" i="4"/>
  <c r="D28" i="4"/>
  <c r="C28" i="4"/>
  <c r="B28" i="4"/>
  <c r="A28" i="4"/>
  <c r="G27" i="4"/>
  <c r="F27" i="4"/>
  <c r="E27" i="4"/>
  <c r="D27" i="4"/>
  <c r="C27" i="4"/>
  <c r="B27" i="4"/>
  <c r="A27" i="4"/>
  <c r="G26" i="4"/>
  <c r="F26" i="4"/>
  <c r="E26" i="4"/>
  <c r="D26" i="4"/>
  <c r="C26" i="4"/>
  <c r="B26" i="4"/>
  <c r="A26" i="4"/>
  <c r="G25" i="4"/>
  <c r="F25" i="4"/>
  <c r="E25" i="4"/>
  <c r="D25" i="4"/>
  <c r="C25" i="4"/>
  <c r="B25" i="4"/>
  <c r="A25" i="4"/>
  <c r="G24" i="4"/>
  <c r="F24" i="4"/>
  <c r="E24" i="4"/>
  <c r="D24" i="4"/>
  <c r="C24" i="4"/>
  <c r="B24" i="4"/>
  <c r="A24" i="4"/>
  <c r="G23" i="4"/>
  <c r="F23" i="4"/>
  <c r="E23" i="4"/>
  <c r="D23" i="4"/>
  <c r="C23" i="4"/>
  <c r="B23" i="4"/>
  <c r="A23" i="4"/>
  <c r="G22" i="4"/>
  <c r="F22" i="4"/>
  <c r="E22" i="4"/>
  <c r="D22" i="4"/>
  <c r="C22" i="4"/>
  <c r="B22" i="4"/>
  <c r="A22" i="4"/>
  <c r="G21" i="4"/>
  <c r="F21" i="4"/>
  <c r="E21" i="4"/>
  <c r="D21" i="4"/>
  <c r="C21" i="4"/>
  <c r="B21" i="4"/>
  <c r="A21" i="4"/>
  <c r="G20" i="4"/>
  <c r="F20" i="4"/>
  <c r="E20" i="4"/>
  <c r="D20" i="4"/>
  <c r="C20" i="4"/>
  <c r="B20" i="4"/>
  <c r="A20" i="4"/>
  <c r="G19" i="4"/>
  <c r="F19" i="4"/>
  <c r="E19" i="4"/>
  <c r="D19" i="4"/>
  <c r="C19" i="4"/>
  <c r="B19" i="4"/>
  <c r="A19" i="4"/>
  <c r="G18" i="4"/>
  <c r="F18" i="4"/>
  <c r="E18" i="4"/>
  <c r="D18" i="4"/>
  <c r="C18" i="4"/>
  <c r="B18" i="4"/>
  <c r="A18" i="4"/>
  <c r="G17" i="4"/>
  <c r="F17" i="4"/>
  <c r="E17" i="4"/>
  <c r="D17" i="4"/>
  <c r="C17" i="4"/>
  <c r="B17" i="4"/>
  <c r="A17" i="4"/>
  <c r="G16" i="4"/>
  <c r="F16" i="4"/>
  <c r="E16" i="4"/>
  <c r="D16" i="4"/>
  <c r="C16" i="4"/>
  <c r="B16" i="4"/>
  <c r="A16" i="4"/>
  <c r="G15" i="4"/>
  <c r="F15" i="4"/>
  <c r="E15" i="4"/>
  <c r="D15" i="4"/>
  <c r="C15" i="4"/>
  <c r="B15" i="4"/>
  <c r="A15" i="4"/>
  <c r="G14" i="4"/>
  <c r="F14" i="4"/>
  <c r="E14" i="4"/>
  <c r="D14" i="4"/>
  <c r="C14" i="4"/>
  <c r="B14" i="4"/>
  <c r="A14" i="4"/>
  <c r="G13" i="4"/>
  <c r="F13" i="4"/>
  <c r="E13" i="4"/>
  <c r="D13" i="4"/>
  <c r="C13" i="4"/>
  <c r="B13" i="4"/>
  <c r="A13" i="4"/>
  <c r="G12" i="4"/>
  <c r="E12" i="4"/>
  <c r="D12" i="4"/>
  <c r="C12" i="4"/>
  <c r="B12" i="4"/>
  <c r="A12" i="4"/>
  <c r="I11" i="4"/>
  <c r="G11" i="4"/>
  <c r="E11" i="4"/>
  <c r="D11" i="4"/>
  <c r="C11" i="4"/>
  <c r="B11" i="4"/>
  <c r="A11" i="4"/>
  <c r="G10" i="4"/>
  <c r="E10" i="4"/>
  <c r="D10" i="4"/>
  <c r="C10" i="4"/>
  <c r="B10" i="4"/>
  <c r="A10" i="4"/>
  <c r="I9" i="4"/>
  <c r="G9" i="4"/>
  <c r="E9" i="4"/>
  <c r="D9" i="4"/>
  <c r="C9" i="4"/>
  <c r="B9" i="4"/>
  <c r="A9" i="4"/>
  <c r="D38" i="3"/>
  <c r="D37" i="3"/>
  <c r="D36" i="3"/>
  <c r="D8" i="3"/>
  <c r="D7" i="3"/>
  <c r="D6" i="3"/>
  <c r="D5" i="3"/>
  <c r="D4" i="3"/>
  <c r="D3" i="3"/>
  <c r="T202" i="2"/>
  <c r="S202" i="2"/>
  <c r="E202" i="2"/>
  <c r="T201" i="2"/>
  <c r="S201" i="2"/>
  <c r="E201" i="2"/>
  <c r="T200" i="2"/>
  <c r="S200" i="2"/>
  <c r="E200" i="2"/>
  <c r="T199" i="2"/>
  <c r="S199" i="2"/>
  <c r="E199" i="2"/>
  <c r="T198" i="2"/>
  <c r="S198" i="2"/>
  <c r="E198" i="2"/>
  <c r="T197" i="2"/>
  <c r="S197" i="2"/>
  <c r="E197" i="2"/>
  <c r="T196" i="2"/>
  <c r="S196" i="2"/>
  <c r="E196" i="2"/>
  <c r="T195" i="2"/>
  <c r="S195" i="2"/>
  <c r="E195" i="2"/>
  <c r="T194" i="2"/>
  <c r="S194" i="2"/>
  <c r="E194" i="2"/>
  <c r="T193" i="2"/>
  <c r="S193" i="2"/>
  <c r="E193" i="2"/>
  <c r="T192" i="2"/>
  <c r="S192" i="2"/>
  <c r="E192" i="2"/>
  <c r="T191" i="2"/>
  <c r="S191" i="2"/>
  <c r="E191" i="2"/>
  <c r="T190" i="2"/>
  <c r="S190" i="2"/>
  <c r="E190" i="2"/>
  <c r="T189" i="2"/>
  <c r="S189" i="2"/>
  <c r="E189" i="2"/>
  <c r="T188" i="2"/>
  <c r="S188" i="2"/>
  <c r="E188" i="2"/>
  <c r="T187" i="2"/>
  <c r="S187" i="2"/>
  <c r="E187" i="2"/>
  <c r="T186" i="2"/>
  <c r="S186" i="2"/>
  <c r="E186" i="2"/>
  <c r="T185" i="2"/>
  <c r="S185" i="2"/>
  <c r="E185" i="2"/>
  <c r="T184" i="2"/>
  <c r="S184" i="2"/>
  <c r="E184" i="2"/>
  <c r="T183" i="2"/>
  <c r="S183" i="2"/>
  <c r="E183" i="2"/>
  <c r="T182" i="2"/>
  <c r="S182" i="2"/>
  <c r="E182" i="2"/>
  <c r="T181" i="2"/>
  <c r="S181" i="2"/>
  <c r="E181" i="2"/>
  <c r="T180" i="2"/>
  <c r="S180" i="2"/>
  <c r="E180" i="2"/>
  <c r="T179" i="2"/>
  <c r="S179" i="2"/>
  <c r="E179" i="2"/>
  <c r="T178" i="2"/>
  <c r="S178" i="2"/>
  <c r="E178" i="2"/>
  <c r="T177" i="2"/>
  <c r="S177" i="2"/>
  <c r="E177" i="2"/>
  <c r="T176" i="2"/>
  <c r="S176" i="2"/>
  <c r="E176" i="2"/>
  <c r="T175" i="2"/>
  <c r="S175" i="2"/>
  <c r="E175" i="2"/>
  <c r="T174" i="2"/>
  <c r="S174" i="2"/>
  <c r="E174" i="2"/>
  <c r="T173" i="2"/>
  <c r="S173" i="2"/>
  <c r="E173" i="2"/>
  <c r="T172" i="2"/>
  <c r="S172" i="2"/>
  <c r="E172" i="2"/>
  <c r="T171" i="2"/>
  <c r="S171" i="2"/>
  <c r="E171" i="2"/>
  <c r="T170" i="2"/>
  <c r="S170" i="2"/>
  <c r="E170" i="2"/>
  <c r="T169" i="2"/>
  <c r="S169" i="2"/>
  <c r="E169" i="2"/>
  <c r="T168" i="2"/>
  <c r="S168" i="2"/>
  <c r="E168" i="2"/>
  <c r="T167" i="2"/>
  <c r="S167" i="2"/>
  <c r="E167" i="2"/>
  <c r="T166" i="2"/>
  <c r="S166" i="2"/>
  <c r="E166" i="2"/>
  <c r="T165" i="2"/>
  <c r="S165" i="2"/>
  <c r="E165" i="2"/>
  <c r="T164" i="2"/>
  <c r="S164" i="2"/>
  <c r="E164" i="2"/>
  <c r="T163" i="2"/>
  <c r="S163" i="2"/>
  <c r="E163" i="2"/>
  <c r="T162" i="2"/>
  <c r="S162" i="2"/>
  <c r="E162" i="2"/>
  <c r="T161" i="2"/>
  <c r="S161" i="2"/>
  <c r="E161" i="2"/>
  <c r="T160" i="2"/>
  <c r="S160" i="2"/>
  <c r="E160" i="2"/>
  <c r="T159" i="2"/>
  <c r="S159" i="2"/>
  <c r="E159" i="2"/>
  <c r="T158" i="2"/>
  <c r="S158" i="2"/>
  <c r="E158" i="2"/>
  <c r="T157" i="2"/>
  <c r="S157" i="2"/>
  <c r="E157" i="2"/>
  <c r="T156" i="2"/>
  <c r="S156" i="2"/>
  <c r="E156" i="2"/>
  <c r="T155" i="2"/>
  <c r="S155" i="2"/>
  <c r="E155" i="2"/>
  <c r="T154" i="2"/>
  <c r="S154" i="2"/>
  <c r="E154" i="2"/>
  <c r="T153" i="2"/>
  <c r="S153" i="2"/>
  <c r="E153" i="2"/>
  <c r="T152" i="2"/>
  <c r="S152" i="2"/>
  <c r="E152" i="2"/>
  <c r="T151" i="2"/>
  <c r="S151" i="2"/>
  <c r="E151" i="2"/>
  <c r="T150" i="2"/>
  <c r="S150" i="2"/>
  <c r="E150" i="2"/>
  <c r="T149" i="2"/>
  <c r="S149" i="2"/>
  <c r="E149" i="2"/>
  <c r="T148" i="2"/>
  <c r="S148" i="2"/>
  <c r="E148" i="2"/>
  <c r="T147" i="2"/>
  <c r="S147" i="2"/>
  <c r="E147" i="2"/>
  <c r="T146" i="2"/>
  <c r="S146" i="2"/>
  <c r="E146" i="2"/>
  <c r="T145" i="2"/>
  <c r="S145" i="2"/>
  <c r="E145" i="2"/>
  <c r="T144" i="2"/>
  <c r="S144" i="2"/>
  <c r="E144" i="2"/>
  <c r="T143" i="2"/>
  <c r="S143" i="2"/>
  <c r="E143" i="2"/>
  <c r="T142" i="2"/>
  <c r="S142" i="2"/>
  <c r="E142" i="2"/>
  <c r="T141" i="2"/>
  <c r="S141" i="2"/>
  <c r="E141" i="2"/>
  <c r="T140" i="2"/>
  <c r="S140" i="2"/>
  <c r="E140" i="2"/>
  <c r="T139" i="2"/>
  <c r="S139" i="2"/>
  <c r="E139" i="2"/>
  <c r="T138" i="2"/>
  <c r="S138" i="2"/>
  <c r="E138" i="2"/>
  <c r="T137" i="2"/>
  <c r="S137" i="2"/>
  <c r="E137" i="2"/>
  <c r="T136" i="2"/>
  <c r="S136" i="2"/>
  <c r="E136" i="2"/>
  <c r="T135" i="2"/>
  <c r="S135" i="2"/>
  <c r="E135" i="2"/>
  <c r="T134" i="2"/>
  <c r="S134" i="2"/>
  <c r="E134" i="2"/>
  <c r="T133" i="2"/>
  <c r="S133" i="2"/>
  <c r="E133" i="2"/>
  <c r="T132" i="2"/>
  <c r="S132" i="2"/>
  <c r="E132" i="2"/>
  <c r="T131" i="2"/>
  <c r="S131" i="2"/>
  <c r="E131" i="2"/>
  <c r="T130" i="2"/>
  <c r="S130" i="2"/>
  <c r="E130" i="2"/>
  <c r="T129" i="2"/>
  <c r="S129" i="2"/>
  <c r="E129" i="2"/>
  <c r="T128" i="2"/>
  <c r="S128" i="2"/>
  <c r="E128" i="2"/>
  <c r="T127" i="2"/>
  <c r="S127" i="2"/>
  <c r="E127" i="2"/>
  <c r="T126" i="2"/>
  <c r="S126" i="2"/>
  <c r="E126" i="2"/>
  <c r="T125" i="2"/>
  <c r="S125" i="2"/>
  <c r="E125" i="2"/>
  <c r="T124" i="2"/>
  <c r="S124" i="2"/>
  <c r="E124" i="2"/>
  <c r="T123" i="2"/>
  <c r="S123" i="2"/>
  <c r="E123" i="2"/>
  <c r="K123" i="2" s="1"/>
  <c r="T122" i="2"/>
  <c r="S122" i="2"/>
  <c r="E122" i="2"/>
  <c r="K122" i="2" s="1"/>
  <c r="T121" i="2"/>
  <c r="S121" i="2"/>
  <c r="E121" i="2"/>
  <c r="K121" i="2" s="1"/>
  <c r="T120" i="2"/>
  <c r="S120" i="2"/>
  <c r="E120" i="2"/>
  <c r="K120" i="2" s="1"/>
  <c r="T119" i="2"/>
  <c r="S119" i="2"/>
  <c r="E119" i="2"/>
  <c r="K119" i="2" s="1"/>
  <c r="T118" i="2"/>
  <c r="S118" i="2"/>
  <c r="E118" i="2"/>
  <c r="K118" i="2" s="1"/>
  <c r="T117" i="2"/>
  <c r="S117" i="2"/>
  <c r="E117" i="2"/>
  <c r="K117" i="2" s="1"/>
  <c r="T116" i="2"/>
  <c r="S116" i="2"/>
  <c r="E116" i="2"/>
  <c r="K116" i="2" s="1"/>
  <c r="T115" i="2"/>
  <c r="S115" i="2"/>
  <c r="E115" i="2"/>
  <c r="K115" i="2" s="1"/>
  <c r="T114" i="2"/>
  <c r="S114" i="2"/>
  <c r="E114" i="2"/>
  <c r="K114" i="2" s="1"/>
  <c r="T113" i="2"/>
  <c r="S113" i="2"/>
  <c r="E113" i="2"/>
  <c r="K113" i="2" s="1"/>
  <c r="T112" i="2"/>
  <c r="S112" i="2"/>
  <c r="E112" i="2"/>
  <c r="K112" i="2" s="1"/>
  <c r="T111" i="2"/>
  <c r="S111" i="2"/>
  <c r="E111" i="2"/>
  <c r="K111" i="2" s="1"/>
  <c r="T110" i="2"/>
  <c r="S110" i="2"/>
  <c r="E110" i="2"/>
  <c r="K110" i="2" s="1"/>
  <c r="T109" i="2"/>
  <c r="S109" i="2"/>
  <c r="E109" i="2"/>
  <c r="K109" i="2" s="1"/>
  <c r="T108" i="2"/>
  <c r="S108" i="2"/>
  <c r="E108" i="2"/>
  <c r="K108" i="2" s="1"/>
  <c r="T107" i="2"/>
  <c r="S107" i="2"/>
  <c r="E107" i="2"/>
  <c r="K107" i="2" s="1"/>
  <c r="T106" i="2"/>
  <c r="S106" i="2"/>
  <c r="T105" i="2"/>
  <c r="S105" i="2"/>
  <c r="E105" i="2"/>
  <c r="K105" i="2" s="1"/>
  <c r="T104" i="2"/>
  <c r="S104" i="2"/>
  <c r="E104" i="2"/>
  <c r="T103" i="2"/>
  <c r="S103" i="2"/>
  <c r="E103" i="2"/>
  <c r="K103" i="2" s="1"/>
  <c r="T102" i="2"/>
  <c r="S102" i="2"/>
  <c r="E102" i="2"/>
  <c r="K102" i="2" s="1"/>
  <c r="T101" i="2"/>
  <c r="S101" i="2"/>
  <c r="E101" i="2"/>
  <c r="K101" i="2" s="1"/>
  <c r="T100" i="2"/>
  <c r="S100" i="2"/>
  <c r="E100" i="2"/>
  <c r="K100" i="2" s="1"/>
  <c r="T99" i="2"/>
  <c r="S99" i="2"/>
  <c r="T98" i="2"/>
  <c r="S98" i="2"/>
  <c r="E98" i="2"/>
  <c r="K98" i="2" s="1"/>
  <c r="T97" i="2"/>
  <c r="S97" i="2"/>
  <c r="E97" i="2"/>
  <c r="K97" i="2" s="1"/>
  <c r="T96" i="2"/>
  <c r="S96" i="2"/>
  <c r="E96" i="2"/>
  <c r="K96" i="2" s="1"/>
  <c r="T95" i="2"/>
  <c r="S95" i="2"/>
  <c r="E95" i="2"/>
  <c r="K95" i="2" s="1"/>
  <c r="T94" i="2"/>
  <c r="S94" i="2"/>
  <c r="E94" i="2"/>
  <c r="K94" i="2" s="1"/>
  <c r="T93" i="2"/>
  <c r="S93" i="2"/>
  <c r="E93" i="2"/>
  <c r="K93" i="2" s="1"/>
  <c r="T92" i="2"/>
  <c r="S92" i="2"/>
  <c r="E92" i="2"/>
  <c r="K92" i="2" s="1"/>
  <c r="T91" i="2"/>
  <c r="S91" i="2"/>
  <c r="E91" i="2"/>
  <c r="K91" i="2" s="1"/>
  <c r="T90" i="2"/>
  <c r="S90" i="2"/>
  <c r="E90" i="2"/>
  <c r="K90" i="2" s="1"/>
  <c r="T89" i="2"/>
  <c r="S89" i="2"/>
  <c r="E89" i="2"/>
  <c r="K89" i="2" s="1"/>
  <c r="T88" i="2"/>
  <c r="S88" i="2"/>
  <c r="E88" i="2"/>
  <c r="K88" i="2" s="1"/>
  <c r="T87" i="2"/>
  <c r="S87" i="2"/>
  <c r="E87" i="2"/>
  <c r="K87" i="2" s="1"/>
  <c r="T86" i="2"/>
  <c r="S86" i="2"/>
  <c r="E86" i="2"/>
  <c r="K86" i="2" s="1"/>
  <c r="T85" i="2"/>
  <c r="S85" i="2"/>
  <c r="E85" i="2"/>
  <c r="K85" i="2" s="1"/>
  <c r="T84" i="2"/>
  <c r="S84" i="2"/>
  <c r="E84" i="2"/>
  <c r="K84" i="2" s="1"/>
  <c r="T83" i="2"/>
  <c r="S83" i="2"/>
  <c r="E83" i="2"/>
  <c r="K83" i="2" s="1"/>
  <c r="T82" i="2"/>
  <c r="S82" i="2"/>
  <c r="E82" i="2"/>
  <c r="K82" i="2" s="1"/>
  <c r="T81" i="2"/>
  <c r="S81" i="2"/>
  <c r="E81" i="2"/>
  <c r="K81" i="2" s="1"/>
  <c r="T80" i="2"/>
  <c r="S80" i="2"/>
  <c r="E80" i="2"/>
  <c r="K80" i="2" s="1"/>
  <c r="T79" i="2"/>
  <c r="S79" i="2"/>
  <c r="E79" i="2"/>
  <c r="K79" i="2" s="1"/>
  <c r="T78" i="2"/>
  <c r="S78" i="2"/>
  <c r="E78" i="2"/>
  <c r="K78" i="2" s="1"/>
  <c r="T77" i="2"/>
  <c r="S77" i="2"/>
  <c r="E77" i="2"/>
  <c r="K77" i="2" s="1"/>
  <c r="T76" i="2"/>
  <c r="S76" i="2"/>
  <c r="E76" i="2"/>
  <c r="K76" i="2" s="1"/>
  <c r="T75" i="2"/>
  <c r="S75" i="2"/>
  <c r="E75" i="2"/>
  <c r="K75" i="2" s="1"/>
  <c r="T74" i="2"/>
  <c r="S74" i="2"/>
  <c r="E74" i="2"/>
  <c r="K74" i="2" s="1"/>
  <c r="T73" i="2"/>
  <c r="S73" i="2"/>
  <c r="E73" i="2"/>
  <c r="K73" i="2" s="1"/>
  <c r="T72" i="2"/>
  <c r="S72" i="2"/>
  <c r="E72" i="2"/>
  <c r="K72" i="2" s="1"/>
  <c r="T71" i="2"/>
  <c r="S71" i="2"/>
  <c r="E71" i="2"/>
  <c r="K71" i="2" s="1"/>
  <c r="T70" i="2"/>
  <c r="S70" i="2"/>
  <c r="E70" i="2"/>
  <c r="K70" i="2" s="1"/>
  <c r="T69" i="2"/>
  <c r="S69" i="2"/>
  <c r="E69" i="2"/>
  <c r="K69" i="2" s="1"/>
  <c r="T68" i="2"/>
  <c r="S68" i="2"/>
  <c r="E68" i="2"/>
  <c r="K68" i="2" s="1"/>
  <c r="T67" i="2"/>
  <c r="S67" i="2"/>
  <c r="E67" i="2"/>
  <c r="K67" i="2" s="1"/>
  <c r="T66" i="2"/>
  <c r="S66" i="2"/>
  <c r="E66" i="2"/>
  <c r="K66" i="2" s="1"/>
  <c r="T65" i="2"/>
  <c r="S65" i="2"/>
  <c r="E65" i="2"/>
  <c r="K65" i="2" s="1"/>
  <c r="T64" i="2"/>
  <c r="S64" i="2"/>
  <c r="E64" i="2"/>
  <c r="K64" i="2" s="1"/>
  <c r="T63" i="2"/>
  <c r="S63" i="2"/>
  <c r="E63" i="2"/>
  <c r="K63" i="2" s="1"/>
  <c r="T62" i="2"/>
  <c r="S62" i="2"/>
  <c r="E62" i="2"/>
  <c r="K62" i="2" s="1"/>
  <c r="T61" i="2"/>
  <c r="S61" i="2"/>
  <c r="E61" i="2"/>
  <c r="K61" i="2" s="1"/>
  <c r="T60" i="2"/>
  <c r="S60" i="2"/>
  <c r="E60" i="2"/>
  <c r="K60" i="2" s="1"/>
  <c r="T59" i="2"/>
  <c r="S59" i="2"/>
  <c r="E59" i="2"/>
  <c r="K59" i="2" s="1"/>
  <c r="T58" i="2"/>
  <c r="S58" i="2"/>
  <c r="E58" i="2"/>
  <c r="K58" i="2" s="1"/>
  <c r="T57" i="2"/>
  <c r="S57" i="2"/>
  <c r="E57" i="2"/>
  <c r="K57" i="2" s="1"/>
  <c r="T56" i="2"/>
  <c r="S56" i="2"/>
  <c r="E56" i="2"/>
  <c r="K56" i="2" s="1"/>
  <c r="T55" i="2"/>
  <c r="S55" i="2"/>
  <c r="E55" i="2"/>
  <c r="K55" i="2" s="1"/>
  <c r="T54" i="2"/>
  <c r="S54" i="2"/>
  <c r="E54" i="2"/>
  <c r="K54" i="2" s="1"/>
  <c r="T53" i="2"/>
  <c r="S53" i="2"/>
  <c r="E53" i="2"/>
  <c r="K53" i="2" s="1"/>
  <c r="T52" i="2"/>
  <c r="S52" i="2"/>
  <c r="E52" i="2"/>
  <c r="K52" i="2" s="1"/>
  <c r="T51" i="2"/>
  <c r="S51" i="2"/>
  <c r="E51" i="2"/>
  <c r="K51" i="2" s="1"/>
  <c r="T50" i="2"/>
  <c r="S50" i="2"/>
  <c r="E50" i="2"/>
  <c r="K50" i="2" s="1"/>
  <c r="T49" i="2"/>
  <c r="S49" i="2"/>
  <c r="E49" i="2"/>
  <c r="K49" i="2" s="1"/>
  <c r="T48" i="2"/>
  <c r="S48" i="2"/>
  <c r="E48" i="2"/>
  <c r="K48" i="2" s="1"/>
  <c r="T47" i="2"/>
  <c r="S47" i="2"/>
  <c r="E47" i="2"/>
  <c r="K47" i="2" s="1"/>
  <c r="T46" i="2"/>
  <c r="S46" i="2"/>
  <c r="E46" i="2"/>
  <c r="K46" i="2" s="1"/>
  <c r="T45" i="2"/>
  <c r="S45" i="2"/>
  <c r="E45" i="2"/>
  <c r="K45" i="2" s="1"/>
  <c r="T44" i="2"/>
  <c r="S44" i="2"/>
  <c r="E44" i="2"/>
  <c r="K44" i="2" s="1"/>
  <c r="T43" i="2"/>
  <c r="S43" i="2"/>
  <c r="E43" i="2"/>
  <c r="K43" i="2" s="1"/>
  <c r="T42" i="2"/>
  <c r="S42" i="2"/>
  <c r="E42" i="2"/>
  <c r="K42" i="2" s="1"/>
  <c r="T41" i="2"/>
  <c r="S41" i="2"/>
  <c r="E41" i="2"/>
  <c r="K41" i="2" s="1"/>
  <c r="T40" i="2"/>
  <c r="S40" i="2"/>
  <c r="T39" i="2"/>
  <c r="S39" i="2"/>
  <c r="E39" i="2"/>
  <c r="K39" i="2" s="1"/>
  <c r="T38" i="2"/>
  <c r="S38" i="2"/>
  <c r="T37" i="2"/>
  <c r="S37" i="2"/>
  <c r="E37" i="2"/>
  <c r="K37" i="2" s="1"/>
  <c r="T36" i="2"/>
  <c r="S36" i="2"/>
  <c r="E36" i="2"/>
  <c r="K36" i="2" s="1"/>
  <c r="T35" i="2"/>
  <c r="S35" i="2"/>
  <c r="E35" i="2"/>
  <c r="K35" i="2" s="1"/>
  <c r="T34" i="2"/>
  <c r="S34" i="2"/>
  <c r="E34" i="2"/>
  <c r="K34" i="2" s="1"/>
  <c r="T33" i="2"/>
  <c r="S33" i="2"/>
  <c r="E33" i="2"/>
  <c r="K33" i="2" s="1"/>
  <c r="T32" i="2"/>
  <c r="S32" i="2"/>
  <c r="E32" i="2"/>
  <c r="K32" i="2" s="1"/>
  <c r="T31" i="2"/>
  <c r="S31" i="2"/>
  <c r="E31" i="2"/>
  <c r="K31" i="2" s="1"/>
  <c r="S30" i="2"/>
  <c r="E30" i="2"/>
  <c r="K30" i="2" s="1"/>
  <c r="T29" i="2"/>
  <c r="S29" i="2"/>
  <c r="E29" i="2"/>
  <c r="K29" i="2" s="1"/>
  <c r="T28" i="2"/>
  <c r="S28" i="2"/>
  <c r="E28" i="2"/>
  <c r="K28" i="2" s="1"/>
  <c r="T27" i="2"/>
  <c r="S27" i="2"/>
  <c r="E27" i="2"/>
  <c r="K27" i="2" s="1"/>
  <c r="T26" i="2"/>
  <c r="S26" i="2"/>
  <c r="E26" i="2"/>
  <c r="K26" i="2" s="1"/>
  <c r="T25" i="2"/>
  <c r="S25" i="2"/>
  <c r="E25" i="2"/>
  <c r="K25" i="2" s="1"/>
  <c r="T24" i="2"/>
  <c r="S24" i="2"/>
  <c r="E24" i="2"/>
  <c r="K24" i="2" s="1"/>
  <c r="T23" i="2"/>
  <c r="S23" i="2"/>
  <c r="E23" i="2"/>
  <c r="T22" i="2"/>
  <c r="S22" i="2"/>
  <c r="T21" i="2"/>
  <c r="S21" i="2"/>
  <c r="E21" i="2"/>
  <c r="K21" i="2" s="1"/>
  <c r="T20" i="2"/>
  <c r="S20" i="2"/>
  <c r="E20" i="2"/>
  <c r="K20" i="2" s="1"/>
  <c r="T19" i="2"/>
  <c r="S19" i="2"/>
  <c r="E19" i="2"/>
  <c r="K19" i="2" s="1"/>
  <c r="T18" i="2"/>
  <c r="S18" i="2"/>
  <c r="E18" i="2"/>
  <c r="K18" i="2" s="1"/>
  <c r="T17" i="2"/>
  <c r="S17" i="2"/>
  <c r="E17" i="2"/>
  <c r="K17" i="2" s="1"/>
  <c r="T16" i="2"/>
  <c r="S16" i="2"/>
  <c r="E16" i="2"/>
  <c r="K16" i="2" s="1"/>
  <c r="T15" i="2"/>
  <c r="E15" i="2"/>
  <c r="K15" i="2" s="1"/>
  <c r="T14" i="2"/>
  <c r="E14" i="2"/>
  <c r="T13" i="2"/>
  <c r="S13" i="2"/>
  <c r="E13" i="2"/>
  <c r="K13" i="2" s="1"/>
  <c r="T12" i="2"/>
  <c r="S12" i="2"/>
  <c r="E12" i="2"/>
  <c r="K12" i="2" s="1"/>
  <c r="T11" i="2"/>
  <c r="S11" i="2"/>
  <c r="E11" i="2"/>
  <c r="K11" i="2" s="1"/>
  <c r="T10" i="2"/>
  <c r="S10" i="2"/>
  <c r="E10" i="2"/>
  <c r="K10" i="2" s="1"/>
  <c r="T9" i="2"/>
  <c r="S9" i="2"/>
  <c r="E9" i="2"/>
  <c r="K9" i="2" s="1"/>
  <c r="T8" i="2"/>
  <c r="S8" i="2"/>
  <c r="E8" i="2"/>
  <c r="K8" i="2" s="1"/>
  <c r="T7" i="2"/>
  <c r="S7" i="2"/>
  <c r="E7" i="2"/>
  <c r="K7" i="2" s="1"/>
  <c r="T6" i="2"/>
  <c r="S6" i="2"/>
  <c r="E6" i="2"/>
  <c r="T5" i="2"/>
  <c r="S5" i="2"/>
  <c r="H11" i="4" s="1"/>
  <c r="E5" i="2"/>
  <c r="K5" i="2" s="1"/>
  <c r="T4" i="2"/>
  <c r="S4" i="2"/>
  <c r="H10" i="4" s="1"/>
  <c r="E4" i="2"/>
  <c r="G19" i="5"/>
  <c r="J129" i="4" l="1"/>
  <c r="I129" i="4"/>
  <c r="H129" i="4"/>
  <c r="J128" i="4"/>
  <c r="I128" i="4"/>
  <c r="H128" i="4"/>
  <c r="J127" i="4"/>
  <c r="I127" i="4"/>
  <c r="H127" i="4"/>
  <c r="J126" i="4"/>
  <c r="I126" i="4"/>
  <c r="H126" i="4"/>
  <c r="J125" i="4"/>
  <c r="I125" i="4"/>
  <c r="H125" i="4"/>
  <c r="J124" i="4"/>
  <c r="I124" i="4"/>
  <c r="H124" i="4"/>
  <c r="J123" i="4"/>
  <c r="I123" i="4"/>
  <c r="H123" i="4"/>
  <c r="J122" i="4"/>
  <c r="I122" i="4"/>
  <c r="H122" i="4"/>
  <c r="J121" i="4"/>
  <c r="I121" i="4"/>
  <c r="H121" i="4"/>
  <c r="J120" i="4"/>
  <c r="I120" i="4"/>
  <c r="H120" i="4"/>
  <c r="J119" i="4"/>
  <c r="I119" i="4"/>
  <c r="H119" i="4"/>
  <c r="J118" i="4"/>
  <c r="I118" i="4"/>
  <c r="H118" i="4"/>
  <c r="J117" i="4"/>
  <c r="I117" i="4"/>
  <c r="H117" i="4"/>
  <c r="J116" i="4"/>
  <c r="I116" i="4"/>
  <c r="H116" i="4"/>
  <c r="J115" i="4"/>
  <c r="I115" i="4"/>
  <c r="H115" i="4"/>
  <c r="J114" i="4"/>
  <c r="I114" i="4"/>
  <c r="H114" i="4"/>
  <c r="J112" i="4"/>
  <c r="I112" i="4"/>
  <c r="H112" i="4"/>
  <c r="J113" i="4"/>
  <c r="I113" i="4"/>
  <c r="H113" i="4"/>
  <c r="J111" i="4"/>
  <c r="I111" i="4"/>
  <c r="H111" i="4"/>
  <c r="J110" i="4"/>
  <c r="I110" i="4"/>
  <c r="H110" i="4"/>
  <c r="J109" i="4"/>
  <c r="I109" i="4"/>
  <c r="H109" i="4"/>
  <c r="J108" i="4"/>
  <c r="I108" i="4"/>
  <c r="H108" i="4"/>
  <c r="J107" i="4"/>
  <c r="I107" i="4"/>
  <c r="H107" i="4"/>
  <c r="J106" i="4"/>
  <c r="I106" i="4"/>
  <c r="H106" i="4"/>
  <c r="J105" i="4"/>
  <c r="I105" i="4"/>
  <c r="H105" i="4"/>
  <c r="J104" i="4"/>
  <c r="I104" i="4"/>
  <c r="H104" i="4"/>
  <c r="J103" i="4"/>
  <c r="I103" i="4"/>
  <c r="H103" i="4"/>
  <c r="J102" i="4"/>
  <c r="I102" i="4"/>
  <c r="H102" i="4"/>
  <c r="J101" i="4"/>
  <c r="I101" i="4"/>
  <c r="H101" i="4"/>
  <c r="J100" i="4"/>
  <c r="I100" i="4"/>
  <c r="H100" i="4"/>
  <c r="J99" i="4"/>
  <c r="I99" i="4"/>
  <c r="H99" i="4"/>
  <c r="J98" i="4"/>
  <c r="I98" i="4"/>
  <c r="H98" i="4"/>
  <c r="J97" i="4"/>
  <c r="I97" i="4"/>
  <c r="H97" i="4"/>
  <c r="J96" i="4"/>
  <c r="I96" i="4"/>
  <c r="H96" i="4"/>
  <c r="J95" i="4"/>
  <c r="I95" i="4"/>
  <c r="H95" i="4"/>
  <c r="J94" i="4"/>
  <c r="I94" i="4"/>
  <c r="H94" i="4"/>
  <c r="J93" i="4"/>
  <c r="I93" i="4"/>
  <c r="H93" i="4"/>
  <c r="J92" i="4"/>
  <c r="I92" i="4"/>
  <c r="H92" i="4"/>
  <c r="J91" i="4"/>
  <c r="I91" i="4"/>
  <c r="H91" i="4"/>
  <c r="J90" i="4"/>
  <c r="I90" i="4"/>
  <c r="H90" i="4"/>
  <c r="J89" i="4"/>
  <c r="I89" i="4"/>
  <c r="H89" i="4"/>
  <c r="J88" i="4"/>
  <c r="I88" i="4"/>
  <c r="H88" i="4"/>
  <c r="J87" i="4"/>
  <c r="I87" i="4"/>
  <c r="H87" i="4"/>
  <c r="J86" i="4"/>
  <c r="I86" i="4"/>
  <c r="H86" i="4"/>
  <c r="J85" i="4"/>
  <c r="I85" i="4"/>
  <c r="H85" i="4"/>
  <c r="J84" i="4"/>
  <c r="I84" i="4"/>
  <c r="H84" i="4"/>
  <c r="J83" i="4"/>
  <c r="I83" i="4"/>
  <c r="H83" i="4"/>
  <c r="J82" i="4"/>
  <c r="I82" i="4"/>
  <c r="H82" i="4"/>
  <c r="J81" i="4"/>
  <c r="I81" i="4"/>
  <c r="H81" i="4"/>
  <c r="J80" i="4"/>
  <c r="I80" i="4"/>
  <c r="H80" i="4"/>
  <c r="J79" i="4"/>
  <c r="I79" i="4"/>
  <c r="H79" i="4"/>
  <c r="J78" i="4"/>
  <c r="I78" i="4"/>
  <c r="H78" i="4"/>
  <c r="J77" i="4"/>
  <c r="I77" i="4"/>
  <c r="H77" i="4"/>
  <c r="J76" i="4"/>
  <c r="I76" i="4"/>
  <c r="H76" i="4"/>
  <c r="J75" i="4"/>
  <c r="I75" i="4"/>
  <c r="H75" i="4"/>
  <c r="J74" i="4"/>
  <c r="I74" i="4"/>
  <c r="H74" i="4"/>
  <c r="J73" i="4"/>
  <c r="I73" i="4"/>
  <c r="H73" i="4"/>
  <c r="J72" i="4"/>
  <c r="I72" i="4"/>
  <c r="H72" i="4"/>
  <c r="J71" i="4"/>
  <c r="I71" i="4"/>
  <c r="H71" i="4"/>
  <c r="J70" i="4"/>
  <c r="I70" i="4"/>
  <c r="H70" i="4"/>
  <c r="J69" i="4"/>
  <c r="I69" i="4"/>
  <c r="H69" i="4"/>
  <c r="J68" i="4"/>
  <c r="I68" i="4"/>
  <c r="H68" i="4"/>
  <c r="J67" i="4"/>
  <c r="I67" i="4"/>
  <c r="H67" i="4"/>
  <c r="J66" i="4"/>
  <c r="I66" i="4"/>
  <c r="H66" i="4"/>
  <c r="J65" i="4"/>
  <c r="I65" i="4"/>
  <c r="H65" i="4"/>
  <c r="J64" i="4"/>
  <c r="I64" i="4"/>
  <c r="H64" i="4"/>
  <c r="J63" i="4"/>
  <c r="I63" i="4"/>
  <c r="H63" i="4"/>
  <c r="J62" i="4"/>
  <c r="I62" i="4"/>
  <c r="H62" i="4"/>
  <c r="J61" i="4"/>
  <c r="I61" i="4"/>
  <c r="H61" i="4"/>
  <c r="J60" i="4"/>
  <c r="I60" i="4"/>
  <c r="H60" i="4"/>
  <c r="J59" i="4"/>
  <c r="I59" i="4"/>
  <c r="H59" i="4"/>
  <c r="J58" i="4"/>
  <c r="I58" i="4"/>
  <c r="H58" i="4"/>
  <c r="J57" i="4"/>
  <c r="I57" i="4"/>
  <c r="H57" i="4"/>
  <c r="J56" i="4"/>
  <c r="I56" i="4"/>
  <c r="H56" i="4"/>
  <c r="J55" i="4"/>
  <c r="I55" i="4"/>
  <c r="H55" i="4"/>
  <c r="J54" i="4"/>
  <c r="I54" i="4"/>
  <c r="H54" i="4"/>
  <c r="J53" i="4"/>
  <c r="I53" i="4"/>
  <c r="H53" i="4"/>
  <c r="J52" i="4"/>
  <c r="I52" i="4"/>
  <c r="H52" i="4"/>
  <c r="J51" i="4"/>
  <c r="I51" i="4"/>
  <c r="H51" i="4"/>
  <c r="J50" i="4"/>
  <c r="I50" i="4"/>
  <c r="H50" i="4"/>
  <c r="J49" i="4"/>
  <c r="I49" i="4"/>
  <c r="H49" i="4"/>
  <c r="J48" i="4"/>
  <c r="I48" i="4"/>
  <c r="H48" i="4"/>
  <c r="J47" i="4"/>
  <c r="I47" i="4"/>
  <c r="H47" i="4"/>
  <c r="J46" i="4"/>
  <c r="I46" i="4"/>
  <c r="H46" i="4"/>
  <c r="J45" i="4"/>
  <c r="I45" i="4"/>
  <c r="H45" i="4"/>
  <c r="J44" i="4"/>
  <c r="I44" i="4"/>
  <c r="H44" i="4"/>
  <c r="J43" i="4"/>
  <c r="I43" i="4"/>
  <c r="H43" i="4"/>
  <c r="J42" i="4"/>
  <c r="I42" i="4"/>
  <c r="H42" i="4"/>
  <c r="J41" i="4"/>
  <c r="I41" i="4"/>
  <c r="H41" i="4"/>
  <c r="J40" i="4"/>
  <c r="I40" i="4"/>
  <c r="H40" i="4"/>
  <c r="J39" i="4"/>
  <c r="I39" i="4"/>
  <c r="H39" i="4"/>
  <c r="J38" i="4"/>
  <c r="I38" i="4"/>
  <c r="H38" i="4"/>
  <c r="J37" i="4"/>
  <c r="I37" i="4"/>
  <c r="H37" i="4"/>
  <c r="J36" i="4"/>
  <c r="I36" i="4"/>
  <c r="H36" i="4"/>
  <c r="J35" i="4"/>
  <c r="I35" i="4"/>
  <c r="H35" i="4"/>
  <c r="J34" i="4"/>
  <c r="I34" i="4"/>
  <c r="H34" i="4"/>
  <c r="J33" i="4"/>
  <c r="I33" i="4"/>
  <c r="H33" i="4"/>
  <c r="J32" i="4"/>
  <c r="I32" i="4"/>
  <c r="H32" i="4"/>
  <c r="J31" i="4"/>
  <c r="I31" i="4"/>
  <c r="H31" i="4"/>
  <c r="J30" i="4"/>
  <c r="I30" i="4"/>
  <c r="H30" i="4"/>
  <c r="J29" i="4"/>
  <c r="I29" i="4"/>
  <c r="H29" i="4"/>
  <c r="J28" i="4"/>
  <c r="I28" i="4"/>
  <c r="H28" i="4"/>
  <c r="J27" i="4"/>
  <c r="I27" i="4"/>
  <c r="H27" i="4"/>
  <c r="J26" i="4"/>
  <c r="I26" i="4"/>
  <c r="H26" i="4"/>
  <c r="J25" i="4"/>
  <c r="I25" i="4"/>
  <c r="H25" i="4"/>
  <c r="J24" i="4"/>
  <c r="I24" i="4"/>
  <c r="H24" i="4"/>
  <c r="J23" i="4"/>
  <c r="I23" i="4"/>
  <c r="H23" i="4"/>
  <c r="J22" i="4"/>
  <c r="I22" i="4"/>
  <c r="H22" i="4"/>
  <c r="J21" i="4"/>
  <c r="I21" i="4"/>
  <c r="H21" i="4"/>
  <c r="J20" i="4"/>
  <c r="I20" i="4"/>
  <c r="H20" i="4"/>
  <c r="J19" i="4"/>
  <c r="I19" i="4"/>
  <c r="H19" i="4"/>
  <c r="J18" i="4"/>
  <c r="I18" i="4"/>
  <c r="H18" i="4"/>
  <c r="J17" i="4"/>
  <c r="I17" i="4"/>
  <c r="H17" i="4"/>
  <c r="J13" i="4"/>
  <c r="J16" i="4"/>
  <c r="I16" i="4"/>
  <c r="H16" i="4"/>
  <c r="J15" i="4"/>
  <c r="I15" i="4"/>
  <c r="H15" i="4"/>
  <c r="J14" i="4"/>
  <c r="I14" i="4"/>
  <c r="H14" i="4"/>
  <c r="I13" i="4"/>
  <c r="H13" i="4"/>
  <c r="D39" i="3"/>
  <c r="G12" i="5"/>
  <c r="D28" i="5"/>
  <c r="D27" i="5"/>
  <c r="K6" i="2"/>
  <c r="K4" i="2"/>
  <c r="J11" i="4"/>
  <c r="I10" i="4"/>
  <c r="H9" i="4"/>
  <c r="D26" i="3"/>
  <c r="D45" i="3"/>
  <c r="D43" i="3"/>
  <c r="D46" i="3"/>
  <c r="D47" i="3"/>
  <c r="D44" i="3"/>
  <c r="H12" i="4"/>
  <c r="I12" i="4"/>
  <c r="D20" i="3" l="1"/>
  <c r="D18" i="3"/>
  <c r="D19" i="3"/>
  <c r="D16" i="3"/>
  <c r="D17" i="3"/>
  <c r="D14" i="3"/>
  <c r="D15" i="3"/>
  <c r="C20" i="3"/>
  <c r="D13" i="3"/>
  <c r="C18" i="3"/>
  <c r="C19" i="3"/>
  <c r="C16" i="3"/>
  <c r="C17" i="3"/>
  <c r="C14" i="3"/>
  <c r="C15" i="3"/>
  <c r="B20" i="3"/>
  <c r="C13" i="3"/>
  <c r="B18" i="3"/>
  <c r="B19" i="3"/>
  <c r="B16" i="3"/>
  <c r="B17" i="3"/>
  <c r="B14" i="3"/>
  <c r="B15" i="3"/>
  <c r="B13" i="3"/>
  <c r="F13" i="3" s="1"/>
  <c r="J12" i="4"/>
  <c r="F11" i="4"/>
  <c r="F18" i="5"/>
  <c r="G18" i="5" l="1"/>
  <c r="E20" i="3"/>
  <c r="F20" i="3"/>
  <c r="E19" i="3"/>
  <c r="F19" i="3"/>
  <c r="E18" i="3"/>
  <c r="F18" i="3"/>
  <c r="E17" i="3"/>
  <c r="F17" i="3"/>
  <c r="E16" i="3"/>
  <c r="F16" i="3"/>
  <c r="E15" i="3"/>
  <c r="F15" i="3"/>
  <c r="E14" i="3"/>
  <c r="F14" i="3"/>
  <c r="E13" i="3"/>
  <c r="E21" i="3"/>
  <c r="D21" i="3"/>
  <c r="C21" i="3"/>
  <c r="B21" i="3"/>
  <c r="F12" i="4"/>
  <c r="F10" i="4"/>
  <c r="J10" i="4"/>
  <c r="D25" i="3"/>
  <c r="G20" i="5"/>
  <c r="F21" i="3" l="1"/>
  <c r="F9" i="4"/>
  <c r="G22" i="5"/>
  <c r="D31" i="3"/>
  <c r="D30" i="3"/>
  <c r="D28" i="3"/>
  <c r="J9" i="4"/>
  <c r="D27" i="3"/>
  <c r="D32" i="3" l="1"/>
  <c r="D29" i="3"/>
</calcChain>
</file>

<file path=xl/sharedStrings.xml><?xml version="1.0" encoding="utf-8"?>
<sst xmlns="http://schemas.openxmlformats.org/spreadsheetml/2006/main" count="1064" uniqueCount="434">
  <si>
    <t>⚽ FIVEUR ACADEMY — Since 2023</t>
  </si>
  <si>
    <t>Mauritanie — Paramètres &amp; Tarifs</t>
  </si>
  <si>
    <t>TARIFS FOOTBALL (mensuel)</t>
  </si>
  <si>
    <t>Catégorie</t>
  </si>
  <si>
    <t>Âge min</t>
  </si>
  <si>
    <t>Âge max</t>
  </si>
  <si>
    <t>Tarif (MRU)</t>
  </si>
  <si>
    <t>U5</t>
  </si>
  <si>
    <t>U7</t>
  </si>
  <si>
    <t>U9</t>
  </si>
  <si>
    <t>U11</t>
  </si>
  <si>
    <t>U12F</t>
  </si>
  <si>
    <t>U13</t>
  </si>
  <si>
    <t>U15</t>
  </si>
  <si>
    <t>U15F</t>
  </si>
  <si>
    <t>TARIF CENTRE DE LOISIRS (mensuel)</t>
  </si>
  <si>
    <t>Centre de Loisirs</t>
  </si>
  <si>
    <t>Tous âges</t>
  </si>
  <si>
    <t>FORMULE COMBINÉE (Football + Loisirs)</t>
  </si>
  <si>
    <t>Réduction combo (%)</t>
  </si>
  <si>
    <t>📋 FIVEUR ACADEMY — REGISTRE DES INSCRIPTIONS</t>
  </si>
  <si>
    <t>N°</t>
  </si>
  <si>
    <t>Nom</t>
  </si>
  <si>
    <t>Prénom</t>
  </si>
  <si>
    <t>Date de naissance</t>
  </si>
  <si>
    <t>Âge</t>
  </si>
  <si>
    <t>Sexe</t>
  </si>
  <si>
    <t>Téléphone Parent</t>
  </si>
  <si>
    <t>Adresse</t>
  </si>
  <si>
    <t>Football</t>
  </si>
  <si>
    <t>Centre Loisirs</t>
  </si>
  <si>
    <t>Catégorie Foot</t>
  </si>
  <si>
    <t>Tarif Football</t>
  </si>
  <si>
    <t>Tarif Loisirs</t>
  </si>
  <si>
    <t>Tarif Total</t>
  </si>
  <si>
    <t>Statut Paiement</t>
  </si>
  <si>
    <t>Date Paiement</t>
  </si>
  <si>
    <t>Observations</t>
  </si>
  <si>
    <t>Date Limite Paiement</t>
  </si>
  <si>
    <t>Retard (jours)</t>
  </si>
  <si>
    <t>Statut Délai</t>
  </si>
  <si>
    <t>SIDIBÉ</t>
  </si>
  <si>
    <t>Younous</t>
  </si>
  <si>
    <t>M</t>
  </si>
  <si>
    <t>+222 49 83 01 84</t>
  </si>
  <si>
    <t>BASRA</t>
  </si>
  <si>
    <t>Oui</t>
  </si>
  <si>
    <t>Non</t>
  </si>
  <si>
    <t>Payé</t>
  </si>
  <si>
    <t>Manque identité</t>
  </si>
  <si>
    <t>Zackaria</t>
  </si>
  <si>
    <t>DIALLO</t>
  </si>
  <si>
    <t>Youssouf</t>
  </si>
  <si>
    <t>+222 48 44 07 94</t>
  </si>
  <si>
    <t>ILOT L</t>
  </si>
  <si>
    <t>manque photo</t>
  </si>
  <si>
    <t>THIAM</t>
  </si>
  <si>
    <t>Mohamed</t>
  </si>
  <si>
    <t>+222 41 53 98 46</t>
  </si>
  <si>
    <t>CITÉ PLAGE</t>
  </si>
  <si>
    <t>Partiel</t>
  </si>
  <si>
    <t>manque piece payé bankly</t>
  </si>
  <si>
    <t>Adama</t>
  </si>
  <si>
    <t>+222 44 89 92 74</t>
  </si>
  <si>
    <t>KOSSOVA RYAD</t>
  </si>
  <si>
    <t>complet</t>
  </si>
  <si>
    <t>KOITA</t>
  </si>
  <si>
    <t>+222 46 46 65 50</t>
  </si>
  <si>
    <t>Youba</t>
  </si>
  <si>
    <t>Binta</t>
  </si>
  <si>
    <t>F</t>
  </si>
  <si>
    <t>manque tt payé bankily</t>
  </si>
  <si>
    <t>DIARRA</t>
  </si>
  <si>
    <t>Ibrahim</t>
  </si>
  <si>
    <t>+222 41 46 24 13</t>
  </si>
  <si>
    <t>6eme EL MINA</t>
  </si>
  <si>
    <t>complét payé bankily</t>
  </si>
  <si>
    <t>BA</t>
  </si>
  <si>
    <t>Amadou</t>
  </si>
  <si>
    <t>+222 46 33 74 63</t>
  </si>
  <si>
    <t>SAMIA EL MINA</t>
  </si>
  <si>
    <t>bankily manque identité</t>
  </si>
  <si>
    <t xml:space="preserve">SAKHO </t>
  </si>
  <si>
    <t>Boubou</t>
  </si>
  <si>
    <t>+222 49 07 16 53</t>
  </si>
  <si>
    <t xml:space="preserve">CITÉ PLAGE </t>
  </si>
  <si>
    <t>cash pas de photo payé complementaire le 15/04</t>
  </si>
  <si>
    <t>DJIGO</t>
  </si>
  <si>
    <t>Cheikh bay</t>
  </si>
  <si>
    <t>+222 49 47 01 42</t>
  </si>
  <si>
    <t>En attente</t>
  </si>
  <si>
    <t xml:space="preserve"> </t>
  </si>
  <si>
    <t>"</t>
  </si>
  <si>
    <t>NBODJ</t>
  </si>
  <si>
    <t>Babacar</t>
  </si>
  <si>
    <t>+222 44 89 97 98</t>
  </si>
  <si>
    <t>manque extrait complement payment le 24/04</t>
  </si>
  <si>
    <t>KANE</t>
  </si>
  <si>
    <t>Alassane</t>
  </si>
  <si>
    <t>+222 42 63 50 50</t>
  </si>
  <si>
    <t>EL MINA</t>
  </si>
  <si>
    <t>manque extrai rajout payment mois le 17/04</t>
  </si>
  <si>
    <t>il a payé le mois de mai 1000mru 29/04</t>
  </si>
  <si>
    <t>Abou</t>
  </si>
  <si>
    <t>manque extrait bankily</t>
  </si>
  <si>
    <t>SOW</t>
  </si>
  <si>
    <t>document ok payement ?</t>
  </si>
  <si>
    <t>Souleymane</t>
  </si>
  <si>
    <t>+222 26 31 86 93</t>
  </si>
  <si>
    <t>pas de doc payement ?</t>
  </si>
  <si>
    <t>KERKOUB</t>
  </si>
  <si>
    <t>Nenime</t>
  </si>
  <si>
    <t>+222 47 45 20 20</t>
  </si>
  <si>
    <t>TERVRAGH ZEINA</t>
  </si>
  <si>
    <t xml:space="preserve">CASH COMPLET </t>
  </si>
  <si>
    <t>DIAGANA</t>
  </si>
  <si>
    <t>Bocar</t>
  </si>
  <si>
    <t>+222 47 47 77 77</t>
  </si>
  <si>
    <t>MANQUE PIECS</t>
  </si>
  <si>
    <t xml:space="preserve">BA </t>
  </si>
  <si>
    <t>+222 47 75 77 22</t>
  </si>
  <si>
    <t>dit quil a laissé</t>
  </si>
  <si>
    <t>dit quil a laissé payé le 29/04 masravi mensualité</t>
  </si>
  <si>
    <t>SIDI MAOULOUD</t>
  </si>
  <si>
    <t>Abdallahi</t>
  </si>
  <si>
    <t>+222 36 29 01 29</t>
  </si>
  <si>
    <t>bankily piece ?</t>
  </si>
  <si>
    <t>SY</t>
  </si>
  <si>
    <t>Boubacar</t>
  </si>
  <si>
    <t>+222 44 24 22 34</t>
  </si>
  <si>
    <t>payé masravi manque photot</t>
  </si>
  <si>
    <t>KANOUTÉ</t>
  </si>
  <si>
    <t>manque extrait payé bankly payé le 15</t>
  </si>
  <si>
    <t>GUEYE</t>
  </si>
  <si>
    <t>Moussa</t>
  </si>
  <si>
    <t>+222 47 32 19 97</t>
  </si>
  <si>
    <t>KOUFA</t>
  </si>
  <si>
    <t xml:space="preserve">complet </t>
  </si>
  <si>
    <t>Mademba</t>
  </si>
  <si>
    <t>PK9</t>
  </si>
  <si>
    <t>dossier complet fait le completment le 24/04</t>
  </si>
  <si>
    <t>TOURÉ</t>
  </si>
  <si>
    <t>+222 46 85 01 86</t>
  </si>
  <si>
    <t>SOCOGIM</t>
  </si>
  <si>
    <t>Ciré</t>
  </si>
  <si>
    <t>Amatullah</t>
  </si>
  <si>
    <t>‪+33 6 58 40 25 02‬</t>
  </si>
  <si>
    <t>Soukaïna</t>
  </si>
  <si>
    <t>Mouhamed</t>
  </si>
  <si>
    <t>+222 42 02 35 84</t>
  </si>
  <si>
    <t>payé par bankily payé le reste 29/04</t>
  </si>
  <si>
    <t>Mamadou</t>
  </si>
  <si>
    <t>payé bankily le reste le 29/04</t>
  </si>
  <si>
    <t>SAMASSA</t>
  </si>
  <si>
    <t>Abdrahmane</t>
  </si>
  <si>
    <t>TEYARETE</t>
  </si>
  <si>
    <t>complet payé 17</t>
  </si>
  <si>
    <t>complet payé le 17/</t>
  </si>
  <si>
    <t>HAMOUNY</t>
  </si>
  <si>
    <t>Didi</t>
  </si>
  <si>
    <t>+222 36 34 50 58</t>
  </si>
  <si>
    <t>BANKILY Manque extrai</t>
  </si>
  <si>
    <t>N'DIAYE</t>
  </si>
  <si>
    <t>Hassan</t>
  </si>
  <si>
    <t>+222 42 22 21 01</t>
  </si>
  <si>
    <t>Masravi</t>
  </si>
  <si>
    <t xml:space="preserve">Houssein </t>
  </si>
  <si>
    <t>SOUMARÉ</t>
  </si>
  <si>
    <t>Djibrril</t>
  </si>
  <si>
    <t>+222 46 41 92 91</t>
  </si>
  <si>
    <t>cash pas de photo extrait</t>
  </si>
  <si>
    <t>Oumar</t>
  </si>
  <si>
    <t>+222 47 48 89 62</t>
  </si>
  <si>
    <t>ARAFATE</t>
  </si>
  <si>
    <t>FALL</t>
  </si>
  <si>
    <t>Mohamedou</t>
  </si>
  <si>
    <t>+222 46 41 34 90</t>
  </si>
  <si>
    <t>Cheikh Ibrahim</t>
  </si>
  <si>
    <t>+222 41 76 49 96</t>
  </si>
  <si>
    <t>KOSSOVO</t>
  </si>
  <si>
    <t>manque document</t>
  </si>
  <si>
    <t>+222 46 47 39 00</t>
  </si>
  <si>
    <t>complet payé le reste le29/04 cash</t>
  </si>
  <si>
    <t>Cheikhna</t>
  </si>
  <si>
    <t>complet le reste le 29/04</t>
  </si>
  <si>
    <t>JOUAMEH</t>
  </si>
  <si>
    <t>Mouchtaba</t>
  </si>
  <si>
    <t>+222 37 73 11 52</t>
  </si>
  <si>
    <t>5EME</t>
  </si>
  <si>
    <t>manque document payé 2eme avril ok le 01/04</t>
  </si>
  <si>
    <t>Khalid</t>
  </si>
  <si>
    <t>Cheikh Tijane</t>
  </si>
  <si>
    <t>+222 46 40 40 50</t>
  </si>
  <si>
    <t>complet payé le 14/04</t>
  </si>
  <si>
    <t>KONATÉ</t>
  </si>
  <si>
    <t>Bachir</t>
  </si>
  <si>
    <t>+222 42 00 04 20</t>
  </si>
  <si>
    <t>complet mensualité le 22/04 bankily</t>
  </si>
  <si>
    <t>SAMBA</t>
  </si>
  <si>
    <t>Zakaria</t>
  </si>
  <si>
    <t>+222 46 90 25 22</t>
  </si>
  <si>
    <t>NETTEQUE</t>
  </si>
  <si>
    <t>complet bankily payé 2eme le 01/04</t>
  </si>
  <si>
    <t>Aminata</t>
  </si>
  <si>
    <t>Diedia</t>
  </si>
  <si>
    <t>complet cash rajoue le 01/05</t>
  </si>
  <si>
    <t>+1 (610) 931-3919</t>
  </si>
  <si>
    <t>CAMARA</t>
  </si>
  <si>
    <t>+33 6 46 30 67 06</t>
  </si>
  <si>
    <t>BAH</t>
  </si>
  <si>
    <t>Khalipha</t>
  </si>
  <si>
    <t>+222 47 88 18 08</t>
  </si>
  <si>
    <t>photo ok payé 2eme le 17/04</t>
  </si>
  <si>
    <t>Kama</t>
  </si>
  <si>
    <t xml:space="preserve">SIDIBÉ </t>
  </si>
  <si>
    <t>Karamoko</t>
  </si>
  <si>
    <t>+222 46 83 01 01</t>
  </si>
  <si>
    <t>BABY</t>
  </si>
  <si>
    <t>+222 47 62 25 28</t>
  </si>
  <si>
    <t>GADENGA</t>
  </si>
  <si>
    <t>Issa</t>
  </si>
  <si>
    <t>+222 27 92 96 12</t>
  </si>
  <si>
    <t>CITÉ CONCORDE</t>
  </si>
  <si>
    <t>+222 46 09 50 42</t>
  </si>
  <si>
    <t>SAMIA</t>
  </si>
  <si>
    <t>Badara Ali</t>
  </si>
  <si>
    <t>+222 44 24 35 63</t>
  </si>
  <si>
    <t>manque piece</t>
  </si>
  <si>
    <t>Cheikh Tidjan</t>
  </si>
  <si>
    <t>+222 46 83 14 90</t>
  </si>
  <si>
    <t>manque piece bankily</t>
  </si>
  <si>
    <t>M'BODJ</t>
  </si>
  <si>
    <t>Seyidouna Mohamed</t>
  </si>
  <si>
    <t>+222 44 72 88 70</t>
  </si>
  <si>
    <t>complet masravi moi de mai ok</t>
  </si>
  <si>
    <t>DIA</t>
  </si>
  <si>
    <t>Abdoul</t>
  </si>
  <si>
    <t>+222 47 72 25 00</t>
  </si>
  <si>
    <t>COSSOVO</t>
  </si>
  <si>
    <t>manque piece masravi</t>
  </si>
  <si>
    <t>DJIMERA</t>
  </si>
  <si>
    <t>Woury</t>
  </si>
  <si>
    <t>+222 43 49 89 62</t>
  </si>
  <si>
    <t>MOKTAR</t>
  </si>
  <si>
    <t>Abdallah</t>
  </si>
  <si>
    <t>+222 46 46 98 98</t>
  </si>
  <si>
    <t>complet bankily</t>
  </si>
  <si>
    <t>JIYID</t>
  </si>
  <si>
    <t>Elyessa</t>
  </si>
  <si>
    <t>+222 20 98 98 92</t>
  </si>
  <si>
    <t>a verifié bankily</t>
  </si>
  <si>
    <t>+222 44 21 03 57</t>
  </si>
  <si>
    <t>MEDINA 3</t>
  </si>
  <si>
    <t>Yakoub</t>
  </si>
  <si>
    <t>Ismael</t>
  </si>
  <si>
    <t>+222 41 74 85 90</t>
  </si>
  <si>
    <t>CENTRE METTRE</t>
  </si>
  <si>
    <t>MOHAMED CHEIKH</t>
  </si>
  <si>
    <t>+222 22 28 22 20</t>
  </si>
  <si>
    <t>payé une seance  200mru manque extraix ok moi de mai</t>
  </si>
  <si>
    <t>400MRU pour navette</t>
  </si>
  <si>
    <t>+200 seance</t>
  </si>
  <si>
    <t>SYLLA</t>
  </si>
  <si>
    <t>+222 44 05 61 02</t>
  </si>
  <si>
    <t>bankily manque document</t>
  </si>
  <si>
    <t>‪+222 41 04 56 30‬</t>
  </si>
  <si>
    <t>CISSÉ</t>
  </si>
  <si>
    <t>+222 37 34 76 60</t>
  </si>
  <si>
    <t xml:space="preserve">Ely </t>
  </si>
  <si>
    <t>+222 32 09 11 31</t>
  </si>
  <si>
    <t>masravi manque document</t>
  </si>
  <si>
    <t>SOKNA</t>
  </si>
  <si>
    <t>Harouna</t>
  </si>
  <si>
    <t>+222 44 69 25 75</t>
  </si>
  <si>
    <t>WANE</t>
  </si>
  <si>
    <t>Ibrahima</t>
  </si>
  <si>
    <t>masravi manque photo</t>
  </si>
  <si>
    <t>FANE</t>
  </si>
  <si>
    <t>Ely</t>
  </si>
  <si>
    <t>+222 49 44 09 04</t>
  </si>
  <si>
    <t>il manque documenty banqui</t>
  </si>
  <si>
    <t>+222 41 32 30 91</t>
  </si>
  <si>
    <t>CABIT</t>
  </si>
  <si>
    <t>+222 42 07 96 50</t>
  </si>
  <si>
    <t>SOUKOUK</t>
  </si>
  <si>
    <t>manque photo payé 3 mois avance</t>
  </si>
  <si>
    <t>Djody</t>
  </si>
  <si>
    <t>FOFANA</t>
  </si>
  <si>
    <t>+222 46 76 18 94</t>
  </si>
  <si>
    <t>manque doc 5000</t>
  </si>
  <si>
    <t>manque document 500</t>
  </si>
  <si>
    <t>DIAGNE</t>
  </si>
  <si>
    <t>Alioune</t>
  </si>
  <si>
    <t>+222 26 43 64 82</t>
  </si>
  <si>
    <t>cash manque document</t>
  </si>
  <si>
    <t>N'DAW</t>
  </si>
  <si>
    <t>+222 22 16 54 72</t>
  </si>
  <si>
    <t xml:space="preserve">manque photo </t>
  </si>
  <si>
    <t>SARRE</t>
  </si>
  <si>
    <t>Tierno</t>
  </si>
  <si>
    <t>+222 49 86 23 31</t>
  </si>
  <si>
    <t>???</t>
  </si>
  <si>
    <t>DIEYE</t>
  </si>
  <si>
    <t>Djibi</t>
  </si>
  <si>
    <t>+222 47 78 99 71</t>
  </si>
  <si>
    <t>Cheikh Bay</t>
  </si>
  <si>
    <t>COMPLET</t>
  </si>
  <si>
    <t>Zeinebou</t>
  </si>
  <si>
    <t>+222 46 02 86 68</t>
  </si>
  <si>
    <t xml:space="preserve">COMPLET CASH </t>
  </si>
  <si>
    <t>Aminta</t>
  </si>
  <si>
    <t>+222 44 61 10 52</t>
  </si>
  <si>
    <t>Mariame</t>
  </si>
  <si>
    <t>+222 44 44 14 07</t>
  </si>
  <si>
    <t>+222 46 38 80 03</t>
  </si>
  <si>
    <t>pas de document reste a payé 4000</t>
  </si>
  <si>
    <t>Maama</t>
  </si>
  <si>
    <t>pas de document reste payé 4000</t>
  </si>
  <si>
    <t>Aboubacar</t>
  </si>
  <si>
    <t>+222 44 85 59 12</t>
  </si>
  <si>
    <t>Birame</t>
  </si>
  <si>
    <t>+222 46 41 23 55</t>
  </si>
  <si>
    <t>SAKHO</t>
  </si>
  <si>
    <t>+222 46 43 00 51</t>
  </si>
  <si>
    <t>complet payé mois de mai</t>
  </si>
  <si>
    <t>Cheikh saad bouh</t>
  </si>
  <si>
    <t>KOÏTA</t>
  </si>
  <si>
    <t>manque phto</t>
  </si>
  <si>
    <t>+222 36 47 67 84</t>
  </si>
  <si>
    <t>OUBEID</t>
  </si>
  <si>
    <t>Ilyas</t>
  </si>
  <si>
    <t>+222 36 32 51 16</t>
  </si>
  <si>
    <t>a resilié leur contrat</t>
  </si>
  <si>
    <t>Emine</t>
  </si>
  <si>
    <t>a resilier leur contrat</t>
  </si>
  <si>
    <t>KEBÉ</t>
  </si>
  <si>
    <t>Sidi</t>
  </si>
  <si>
    <t>+222 48 27 55 21</t>
  </si>
  <si>
    <t xml:space="preserve">manque extrait </t>
  </si>
  <si>
    <t>Abu Bakr</t>
  </si>
  <si>
    <t>+222 47 46 89 90</t>
  </si>
  <si>
    <t>Oumar Ardo</t>
  </si>
  <si>
    <t>Penda</t>
  </si>
  <si>
    <t>+222 31 31 52 00</t>
  </si>
  <si>
    <t>payé pour le mois de mais manque doc</t>
  </si>
  <si>
    <t>seance que le mercredi</t>
  </si>
  <si>
    <t>Maymouna</t>
  </si>
  <si>
    <t>Mahfoud</t>
  </si>
  <si>
    <t>moi mai</t>
  </si>
  <si>
    <t>Ali</t>
  </si>
  <si>
    <t>SOUGOU</t>
  </si>
  <si>
    <t>+222 30 46 66 92</t>
  </si>
  <si>
    <t>manque tt manque mois de mai</t>
  </si>
  <si>
    <t>Brahim</t>
  </si>
  <si>
    <t>DAKEEN</t>
  </si>
  <si>
    <t>+222 30 73 11 52</t>
  </si>
  <si>
    <t>Khaleb</t>
  </si>
  <si>
    <t>📊 FIVEUR ACADEMY — TABLEAU DE BORD</t>
  </si>
  <si>
    <t>INDICATEURS CLÉS</t>
  </si>
  <si>
    <t>Total Inscrits</t>
  </si>
  <si>
    <t>Inscrits Football</t>
  </si>
  <si>
    <t>Inscrits Loisirs</t>
  </si>
  <si>
    <t>Inscrits Football + Loisirs</t>
  </si>
  <si>
    <t>Garçons</t>
  </si>
  <si>
    <t>Filles</t>
  </si>
  <si>
    <t>RÉPARTITION PAR CATÉGORIE (Football)</t>
  </si>
  <si>
    <t>Nb Inscrits</t>
  </si>
  <si>
    <t>% du Total</t>
  </si>
  <si>
    <t>CA Mensuel</t>
  </si>
  <si>
    <t>TOTAL</t>
  </si>
  <si>
    <t>SYNTHÈSE FINANCIÈRE</t>
  </si>
  <si>
    <t>CA Football Mensuel</t>
  </si>
  <si>
    <t>CA Loisirs Mensuel</t>
  </si>
  <si>
    <t>Réductions Combo</t>
  </si>
  <si>
    <t>CA Total Mensuel (net)</t>
  </si>
  <si>
    <t>CA Total Annuel (estimé)</t>
  </si>
  <si>
    <t>Paiements Reçus (Payé)</t>
  </si>
  <si>
    <t>Paiements En Attente</t>
  </si>
  <si>
    <t>Taux de Recouvrement</t>
  </si>
  <si>
    <t>SUIVI DES PAIEMENTS</t>
  </si>
  <si>
    <t>Nb Payé</t>
  </si>
  <si>
    <t>Nb En Attente</t>
  </si>
  <si>
    <t>Nb Partiel</t>
  </si>
  <si>
    <t>% Payé</t>
  </si>
  <si>
    <t>SUIVI DES RETARDS</t>
  </si>
  <si>
    <t>🟢 Dans les temps</t>
  </si>
  <si>
    <t>🟡 Bientôt dû (&lt; 7 jours)</t>
  </si>
  <si>
    <t>🔴 En retard</t>
  </si>
  <si>
    <t>✅ À jour (payé)</t>
  </si>
  <si>
    <t>Retard moyen (jours)</t>
  </si>
  <si>
    <t>📱 FIVEUR ACADEMY — RAPPELS DE PAIEMENT</t>
  </si>
  <si>
    <t>✏️ MODÈLES DE MESSAGES (personnalisez ci-dessous)</t>
  </si>
  <si>
    <t>Modèle 1 :</t>
  </si>
  <si>
    <t>Bonjour, ceci est un rappel de la Fiveur Academy. Le paiement de {MONTANT} pour l'inscription de {PRENOM} {NOM} ({PRESTATION}) est en attente. Date limite : {DATE_LIMITE}. Merci de régulariser. Cordialement, Fiveur Academy.</t>
  </si>
  <si>
    <t>Modèle 2 :</t>
  </si>
  <si>
    <t>⚠️ Bonjour, la Fiveur Academy vous informe que le paiement de {MONTANT} pour {PRENOM} {NOM} est en retard de {RETARD} jour(s). Merci de procéder au règlement dans les plus brefs délais pour maintenir l'inscription. Contact : Fiveur Academy.</t>
  </si>
  <si>
    <t>Modèle 3 :</t>
  </si>
  <si>
    <t>✅ Bonjour, la Fiveur Academy confirme la réception du paiement de {MONTANT} pour {PRENOM} {NOM}. Inscription validée pour : {PRESTATION}. Merci de votre confiance ! ⚽ Fiveur Academy — Since 2023.</t>
  </si>
  <si>
    <t>📋 MESSAGES GÉNÉRÉS AUTOMATIQUEMENT (copier-coller vers WhatsApp/SMS)</t>
  </si>
  <si>
    <t>Téléphone</t>
  </si>
  <si>
    <t>Prestation</t>
  </si>
  <si>
    <t>Montant</t>
  </si>
  <si>
    <t>Statut</t>
  </si>
  <si>
    <t>Retard</t>
  </si>
  <si>
    <t>Type Rappel</t>
  </si>
  <si>
    <t>📱 Message à Envoyer</t>
  </si>
  <si>
    <t>FIVEUR ACADEMY — Générateur de Reçu</t>
  </si>
  <si>
    <t>N° Inscrit :</t>
  </si>
  <si>
    <t>⚽ FIVEUR ACADEMY</t>
  </si>
  <si>
    <t>Since 2023 — Mauritanie</t>
  </si>
  <si>
    <t>REÇU DE PAIEMENT</t>
  </si>
  <si>
    <t>INFORMATIONS DE L'INSCRIT</t>
  </si>
  <si>
    <t>Nom :</t>
  </si>
  <si>
    <t>Prénom :</t>
  </si>
  <si>
    <t>Date de naissance :</t>
  </si>
  <si>
    <t>Âge :</t>
  </si>
  <si>
    <t>Sexe :</t>
  </si>
  <si>
    <t>Tél. parent :</t>
  </si>
  <si>
    <t>Adresse :</t>
  </si>
  <si>
    <t>DÉTAIL DE L'INSCRIPTION</t>
  </si>
  <si>
    <t>Inscrit</t>
  </si>
  <si>
    <t>Tarif</t>
  </si>
  <si>
    <t>⚽ Football</t>
  </si>
  <si>
    <t>🎯 Centre de Loisirs</t>
  </si>
  <si>
    <t>💰 MONTANT TOTAL DÛ</t>
  </si>
  <si>
    <t>STATUT DU PAIEMENT</t>
  </si>
  <si>
    <t>Statut :</t>
  </si>
  <si>
    <t>Date de paiement :</t>
  </si>
  <si>
    <t>Statut délai :</t>
  </si>
  <si>
    <t>Jours de retard :</t>
  </si>
  <si>
    <t>Signature de l'Académie</t>
  </si>
  <si>
    <t>Signature du Parent / Tuteur</t>
  </si>
  <si>
    <t>Ce reçu fait foi de preuve de paiement. Conservez-le précieusement.</t>
  </si>
  <si>
    <t>⚽ Fiveur Academy — Since 2023 — Mauritanie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</si>
</sst>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font>
      <sz val="11"/>
      <color theme="1"/>
      <name val="Calibri"/>
      <family val="2"/>
      <charset val="1"/>
    </font>
    <font>
      <b/>
      <sz val="16"/>
      <color rgb="FF1B5E20"/>
      <name val="Arial"/>
      <charset val="1"/>
    </font>
    <font>
      <b/>
      <sz val="12"/>
      <color rgb="FF1B5E20"/>
      <name val="Arial"/>
      <charset val="1"/>
    </font>
    <font>
      <b/>
      <sz val="11"/>
      <color rgb="FFFFFFFF"/>
      <name val="Arial"/>
      <charset val="1"/>
    </font>
    <font>
      <sz val="10"/>
      <name val="Arial"/>
      <charset val="1"/>
    </font>
    <font>
      <b/>
      <sz val="12"/>
      <color rgb="FFC62828"/>
      <name val="Arial"/>
      <charset val="1"/>
    </font>
    <font>
      <b/>
      <sz val="10"/>
      <color rgb="FF212121"/>
      <name val="Arial"/>
      <charset val="1"/>
    </font>
    <font>
      <b/>
      <sz val="10"/>
      <color rgb="FFFFFFFF"/>
      <name val="Arial"/>
      <charset val="1"/>
    </font>
    <font>
      <b/>
      <sz val="12"/>
      <color rgb="FFFFFFFF"/>
      <name val="Arial"/>
      <charset val="1"/>
    </font>
    <font>
      <b/>
      <sz val="11"/>
      <name val="Arial"/>
      <charset val="1"/>
    </font>
    <font>
      <b/>
      <sz val="14"/>
      <color rgb="FF1B5E20"/>
      <name val="Arial"/>
      <charset val="1"/>
    </font>
    <font>
      <b/>
      <sz val="14"/>
      <color rgb="FFC62828"/>
      <name val="Arial"/>
      <charset val="1"/>
    </font>
    <font>
      <b/>
      <sz val="12"/>
      <name val="Arial"/>
      <charset val="1"/>
    </font>
    <font>
      <b/>
      <sz val="10"/>
      <color rgb="FF1B5E20"/>
      <name val="Arial"/>
      <charset val="1"/>
    </font>
    <font>
      <b/>
      <sz val="10"/>
      <color rgb="FFC62828"/>
      <name val="Arial"/>
      <charset val="1"/>
    </font>
    <font>
      <b/>
      <sz val="10"/>
      <color rgb="FF2E7D32"/>
      <name val="Arial"/>
      <charset val="1"/>
    </font>
    <font>
      <sz val="9"/>
      <name val="Arial"/>
      <charset val="1"/>
    </font>
    <font>
      <b/>
      <sz val="20"/>
      <color rgb="FF1B5E20"/>
      <name val="Arial"/>
      <charset val="1"/>
    </font>
    <font>
      <i/>
      <sz val="11"/>
      <color rgb="FF616161"/>
      <name val="Arial"/>
      <charset val="1"/>
    </font>
    <font>
      <b/>
      <sz val="14"/>
      <color rgb="FFFFFFFF"/>
      <name val="Arial"/>
      <charset val="1"/>
    </font>
    <font>
      <sz val="11"/>
      <name val="Arial"/>
      <charset val="1"/>
    </font>
    <font>
      <b/>
      <sz val="11"/>
      <color rgb="FF1B5E20"/>
      <name val="Arial"/>
      <charset val="1"/>
    </font>
    <font>
      <b/>
      <sz val="10"/>
      <color rgb="FF616161"/>
      <name val="Arial"/>
      <charset val="1"/>
    </font>
    <font>
      <i/>
      <sz val="10"/>
      <color rgb="FFC62828"/>
      <name val="Arial"/>
      <charset val="1"/>
    </font>
    <font>
      <b/>
      <sz val="11"/>
      <color rgb="FFC62828"/>
      <name val="Arial"/>
      <charset val="1"/>
    </font>
    <font>
      <b/>
      <sz val="13"/>
      <color rgb="FFFFFFFF"/>
      <name val="Arial"/>
      <charset val="1"/>
    </font>
    <font>
      <b/>
      <sz val="16"/>
      <color rgb="FFFFFFFF"/>
      <name val="Arial"/>
      <charset val="1"/>
    </font>
    <font>
      <b/>
      <sz val="14"/>
      <name val="Arial"/>
      <charset val="1"/>
    </font>
    <font>
      <i/>
      <sz val="9"/>
      <color rgb="FF9E9E9E"/>
      <name val="Arial"/>
      <charset val="1"/>
    </font>
    <font>
      <b/>
      <sz val="9"/>
      <color rgb="FF1B5E20"/>
      <name val="Arial"/>
      <charset val="1"/>
    </font>
    <font>
      <sz val="10"/>
      <color rgb="FF000000"/>
      <name val="Arial"/>
    </font>
    <font>
      <b/>
      <sz val="11"/>
      <color rgb="FF000000"/>
      <name val="Arial"/>
    </font>
    <font>
      <sz val="11"/>
      <color rgb="FF242424"/>
      <name val="Aptos Narrow"/>
      <charset val="1"/>
    </font>
    <font>
      <sz val="10"/>
      <color rgb="FF000000"/>
      <name val="Arial"/>
      <charset val="1"/>
    </font>
  </fonts>
  <fills count="18">
    <fill>
      <patternFill patternType="none"/>
    </fill>
    <fill>
      <patternFill patternType="gray125"/>
    </fill>
    <fill>
      <patternFill patternType="solid">
        <fgColor rgb="FF2E7D32"/>
        <bgColor rgb="FF1B5E20"/>
      </patternFill>
    </fill>
    <fill>
      <patternFill patternType="solid">
        <fgColor rgb="FFF5F5F5"/>
        <bgColor rgb="FFE8F5E9"/>
      </patternFill>
    </fill>
    <fill>
      <patternFill patternType="solid">
        <fgColor rgb="FFFFFFFF"/>
        <bgColor rgb="FFF5F5F5"/>
      </patternFill>
    </fill>
    <fill>
      <patternFill patternType="solid">
        <fgColor rgb="FFFFF8E1"/>
        <bgColor rgb="FFFFF3E0"/>
      </patternFill>
    </fill>
    <fill>
      <patternFill patternType="solid">
        <fgColor rgb="FFF9A825"/>
        <bgColor rgb="FFFFCC00"/>
      </patternFill>
    </fill>
    <fill>
      <patternFill patternType="solid">
        <fgColor rgb="FF1565C0"/>
        <bgColor rgb="FF3366FF"/>
      </patternFill>
    </fill>
    <fill>
      <patternFill patternType="solid">
        <fgColor rgb="FFC62828"/>
        <bgColor rgb="FF993366"/>
      </patternFill>
    </fill>
    <fill>
      <patternFill patternType="solid">
        <fgColor rgb="FFEF6C00"/>
        <bgColor rgb="FFF57F17"/>
      </patternFill>
    </fill>
    <fill>
      <patternFill patternType="solid">
        <fgColor rgb="FF1B5E20"/>
        <bgColor rgb="FF2E7D32"/>
      </patternFill>
    </fill>
    <fill>
      <patternFill patternType="solid">
        <fgColor rgb="FFE8F5E9"/>
        <bgColor rgb="FFF5F5F5"/>
      </patternFill>
    </fill>
    <fill>
      <patternFill patternType="solid">
        <fgColor rgb="FFFFEBEE"/>
        <bgColor rgb="FFFFF3E0"/>
      </patternFill>
    </fill>
    <fill>
      <patternFill patternType="solid">
        <fgColor rgb="FFFFF3E0"/>
        <bgColor rgb="FFFFF8E1"/>
      </patternFill>
    </fill>
    <fill>
      <patternFill patternType="solid">
        <fgColor rgb="FFFFFF00"/>
        <bgColor rgb="FFFFFF00"/>
      </patternFill>
    </fill>
    <fill>
      <patternFill patternType="solid">
        <fgColor rgb="FFC8E6C9"/>
        <bgColor rgb="FFE0E0E0"/>
      </patternFill>
    </fill>
    <fill>
      <patternFill patternType="solid">
        <fgColor rgb="FFFFFFFF"/>
        <bgColor indexed="64"/>
      </patternFill>
    </fill>
    <fill>
      <patternFill patternType="solid">
        <fgColor rgb="FFE0E0E0"/>
        <bgColor indexed="64"/>
      </patternFill>
    </fill>
  </fills>
  <borders count="31">
    <border>
      <left/>
      <right/>
      <top/>
      <bottom/>
      <diagonal/>
    </border>
    <border>
      <left style="thin">
        <color rgb="FFBDBDBD"/>
      </left>
      <right style="thin">
        <color rgb="FFBDBDBD"/>
      </right>
      <top style="thin">
        <color rgb="FFBDBDBD"/>
      </top>
      <bottom style="thin">
        <color rgb="FFBDBDBD"/>
      </bottom>
      <diagonal/>
    </border>
    <border>
      <left style="medium">
        <color rgb="FF424242"/>
      </left>
      <right style="medium">
        <color rgb="FF424242"/>
      </right>
      <top style="medium">
        <color rgb="FF424242"/>
      </top>
      <bottom style="medium">
        <color rgb="FF424242"/>
      </bottom>
      <diagonal/>
    </border>
    <border>
      <left style="thick">
        <color rgb="FF1B5E20"/>
      </left>
      <right style="thick">
        <color rgb="FF1B5E20"/>
      </right>
      <top style="thick">
        <color rgb="FF1B5E20"/>
      </top>
      <bottom/>
      <diagonal/>
    </border>
    <border>
      <left style="thick">
        <color rgb="FF1B5E20"/>
      </left>
      <right style="thick">
        <color rgb="FF1B5E20"/>
      </right>
      <top/>
      <bottom/>
      <diagonal/>
    </border>
    <border>
      <left style="thick">
        <color rgb="FF1B5E20"/>
      </left>
      <right/>
      <top/>
      <bottom/>
      <diagonal/>
    </border>
    <border>
      <left/>
      <right style="thick">
        <color rgb="FF1B5E20"/>
      </right>
      <top/>
      <bottom/>
      <diagonal/>
    </border>
    <border>
      <left style="thick">
        <color rgb="FF1B5E20"/>
      </left>
      <right style="thick">
        <color rgb="FF1B5E20"/>
      </right>
      <top style="thin">
        <color rgb="FFBDBDBD"/>
      </top>
      <bottom style="thin">
        <color rgb="FFBDBDBD"/>
      </bottom>
      <diagonal/>
    </border>
    <border>
      <left style="thick">
        <color rgb="FF1B5E20"/>
      </left>
      <right style="thin">
        <color rgb="FFBDBDBD"/>
      </right>
      <top style="thin">
        <color rgb="FFBDBDBD"/>
      </top>
      <bottom style="thin">
        <color rgb="FFBDBDBD"/>
      </bottom>
      <diagonal/>
    </border>
    <border>
      <left style="thin">
        <color rgb="FFBDBDBD"/>
      </left>
      <right style="thick">
        <color rgb="FF1B5E20"/>
      </right>
      <top style="thin">
        <color rgb="FFBDBDBD"/>
      </top>
      <bottom style="thin">
        <color rgb="FFBDBDBD"/>
      </bottom>
      <diagonal/>
    </border>
    <border>
      <left style="thick">
        <color rgb="FF1B5E20"/>
      </left>
      <right style="medium">
        <color rgb="FF424242"/>
      </right>
      <top style="medium">
        <color rgb="FF424242"/>
      </top>
      <bottom style="medium">
        <color rgb="FF424242"/>
      </bottom>
      <diagonal/>
    </border>
    <border>
      <left style="medium">
        <color rgb="FF424242"/>
      </left>
      <right style="thick">
        <color rgb="FF1B5E20"/>
      </right>
      <top style="medium">
        <color rgb="FF424242"/>
      </top>
      <bottom style="medium">
        <color rgb="FF424242"/>
      </bottom>
      <diagonal/>
    </border>
    <border>
      <left style="thick">
        <color rgb="FF1B5E20"/>
      </left>
      <right/>
      <top/>
      <bottom style="dotted">
        <color rgb="FF757575"/>
      </bottom>
      <diagonal/>
    </border>
    <border>
      <left/>
      <right style="thick">
        <color rgb="FF1B5E20"/>
      </right>
      <top/>
      <bottom style="dotted">
        <color rgb="FF757575"/>
      </bottom>
      <diagonal/>
    </border>
    <border>
      <left style="thick">
        <color rgb="FF1B5E20"/>
      </left>
      <right style="thick">
        <color rgb="FF1B5E20"/>
      </right>
      <top/>
      <bottom style="thick">
        <color rgb="FF1B5E20"/>
      </bottom>
      <diagonal/>
    </border>
    <border>
      <left style="thin">
        <color rgb="FFBDBDBD"/>
      </left>
      <right style="thin">
        <color rgb="FFBDBDBD"/>
      </right>
      <top style="thin">
        <color rgb="FFBDBDBD"/>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45">
    <xf numFmtId="0" fontId="0" fillId="0" borderId="0" xfId="0"/>
    <xf numFmtId="0" fontId="0" fillId="0" borderId="0" xfId="0" applyAlignment="1"/>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0" fillId="0" borderId="1" xfId="0" applyFont="1" applyBorder="1" applyAlignment="1"/>
    <xf numFmtId="9" fontId="5" fillId="0" borderId="1" xfId="0" applyNumberFormat="1" applyFont="1" applyBorder="1" applyAlignment="1"/>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10" fillId="11" borderId="1" xfId="0" applyFont="1" applyFill="1" applyBorder="1" applyAlignment="1">
      <alignment horizontal="center" vertical="center"/>
    </xf>
    <xf numFmtId="0" fontId="0" fillId="11" borderId="1" xfId="0" applyFill="1" applyBorder="1" applyAlignment="1"/>
    <xf numFmtId="0" fontId="10" fillId="0" borderId="1" xfId="0" applyFont="1" applyBorder="1" applyAlignment="1">
      <alignment horizontal="center" vertical="center"/>
    </xf>
    <xf numFmtId="164" fontId="4" fillId="3"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0" fontId="2" fillId="11" borderId="1" xfId="0" applyFont="1" applyFill="1" applyBorder="1" applyAlignment="1">
      <alignment horizontal="center"/>
    </xf>
    <xf numFmtId="0" fontId="2" fillId="0" borderId="1" xfId="0" applyFont="1" applyBorder="1" applyAlignment="1">
      <alignment horizontal="center"/>
    </xf>
    <xf numFmtId="0" fontId="11" fillId="0" borderId="1" xfId="0" applyFont="1" applyBorder="1" applyAlignment="1">
      <alignment horizontal="center"/>
    </xf>
    <xf numFmtId="164" fontId="2" fillId="0" borderId="1" xfId="0" applyNumberFormat="1" applyFont="1" applyBorder="1" applyAlignment="1">
      <alignment horizontal="center"/>
    </xf>
    <xf numFmtId="0" fontId="12" fillId="12" borderId="1" xfId="0" applyFont="1" applyFill="1" applyBorder="1" applyAlignment="1">
      <alignment horizontal="center"/>
    </xf>
    <xf numFmtId="0" fontId="0" fillId="12" borderId="1" xfId="0" applyFill="1" applyBorder="1" applyAlignment="1"/>
    <xf numFmtId="0" fontId="12" fillId="0" borderId="1" xfId="0" applyFont="1" applyBorder="1" applyAlignment="1">
      <alignment horizontal="center"/>
    </xf>
    <xf numFmtId="164" fontId="12" fillId="0" borderId="1" xfId="0" applyNumberFormat="1" applyFont="1" applyBorder="1" applyAlignment="1">
      <alignment horizontal="center"/>
    </xf>
    <xf numFmtId="0" fontId="12" fillId="13" borderId="1" xfId="0" applyFont="1" applyFill="1" applyBorder="1" applyAlignment="1">
      <alignment horizontal="center"/>
    </xf>
    <xf numFmtId="0" fontId="0" fillId="13" borderId="1" xfId="0" applyFill="1" applyBorder="1" applyAlignment="1"/>
    <xf numFmtId="165" fontId="12" fillId="13" borderId="1" xfId="0" applyNumberFormat="1" applyFont="1" applyFill="1" applyBorder="1" applyAlignment="1">
      <alignment horizontal="center"/>
    </xf>
    <xf numFmtId="0" fontId="7" fillId="2" borderId="1" xfId="0" applyFont="1" applyFill="1" applyBorder="1" applyAlignment="1">
      <alignment horizontal="center" vertical="center" wrapText="1"/>
    </xf>
    <xf numFmtId="0" fontId="16" fillId="3" borderId="1" xfId="0" applyFont="1" applyFill="1" applyBorder="1" applyAlignment="1">
      <alignment horizontal="center" vertical="center"/>
    </xf>
    <xf numFmtId="0" fontId="16" fillId="3" borderId="1" xfId="0" applyFont="1" applyFill="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7" fillId="14" borderId="2" xfId="0" applyFont="1" applyFill="1" applyBorder="1" applyAlignment="1">
      <alignment horizontal="center" vertical="center"/>
    </xf>
    <xf numFmtId="0" fontId="0" fillId="2" borderId="0" xfId="0" applyFill="1" applyAlignment="1"/>
    <xf numFmtId="0" fontId="0" fillId="6" borderId="5" xfId="0" applyFill="1" applyBorder="1" applyAlignment="1"/>
    <xf numFmtId="0" fontId="0" fillId="6" borderId="0" xfId="0" applyFill="1" applyAlignment="1"/>
    <xf numFmtId="0" fontId="0" fillId="6" borderId="6" xfId="0" applyFill="1" applyBorder="1" applyAlignment="1"/>
    <xf numFmtId="0" fontId="0" fillId="0" borderId="5" xfId="0" applyBorder="1" applyAlignment="1"/>
    <xf numFmtId="0" fontId="0" fillId="0" borderId="6" xfId="0" applyBorder="1" applyAlignment="1"/>
    <xf numFmtId="0" fontId="30" fillId="16" borderId="1" xfId="0" applyFont="1" applyFill="1" applyBorder="1" applyAlignment="1">
      <alignment horizontal="center" vertical="center"/>
    </xf>
    <xf numFmtId="164" fontId="30" fillId="16" borderId="1" xfId="0" applyNumberFormat="1" applyFont="1" applyFill="1" applyBorder="1" applyAlignment="1">
      <alignment horizontal="center" vertical="center"/>
    </xf>
    <xf numFmtId="0" fontId="31" fillId="17" borderId="1" xfId="0" applyFont="1" applyFill="1" applyBorder="1" applyAlignment="1">
      <alignment horizontal="center"/>
    </xf>
    <xf numFmtId="164" fontId="31" fillId="17" borderId="1" xfId="0" applyNumberFormat="1" applyFont="1" applyFill="1" applyBorder="1" applyAlignment="1">
      <alignment horizontal="center"/>
    </xf>
    <xf numFmtId="0" fontId="3" fillId="7" borderId="15" xfId="0" applyFont="1" applyFill="1" applyBorder="1" applyAlignment="1">
      <alignment horizontal="center" vertical="center" wrapText="1"/>
    </xf>
    <xf numFmtId="0" fontId="4" fillId="4" borderId="16" xfId="0" applyFont="1" applyFill="1" applyBorder="1" applyAlignment="1">
      <alignment horizontal="center" vertical="center"/>
    </xf>
    <xf numFmtId="14" fontId="4" fillId="4" borderId="16" xfId="0" applyNumberFormat="1" applyFont="1" applyFill="1" applyBorder="1" applyAlignment="1">
      <alignment horizontal="center" vertical="center"/>
    </xf>
    <xf numFmtId="14" fontId="4" fillId="0" borderId="16" xfId="0" applyNumberFormat="1" applyFont="1" applyBorder="1" applyAlignment="1">
      <alignment horizontal="center" vertical="center"/>
    </xf>
    <xf numFmtId="0" fontId="4" fillId="0" borderId="16" xfId="0" applyFont="1" applyBorder="1" applyAlignment="1">
      <alignment horizontal="center" vertical="center"/>
    </xf>
    <xf numFmtId="0" fontId="4" fillId="3" borderId="16" xfId="0" applyFont="1" applyFill="1" applyBorder="1" applyAlignment="1">
      <alignment horizontal="center" vertical="center"/>
    </xf>
    <xf numFmtId="14" fontId="4" fillId="3" borderId="16" xfId="0" applyNumberFormat="1" applyFont="1" applyFill="1" applyBorder="1" applyAlignment="1">
      <alignment horizontal="center" vertical="center"/>
    </xf>
    <xf numFmtId="0" fontId="0" fillId="0" borderId="16" xfId="0" applyBorder="1"/>
    <xf numFmtId="0" fontId="4" fillId="4" borderId="17" xfId="0" applyFont="1" applyFill="1" applyBorder="1" applyAlignment="1">
      <alignment horizontal="center" vertical="center"/>
    </xf>
    <xf numFmtId="0" fontId="4" fillId="0" borderId="18" xfId="0" applyFont="1" applyBorder="1" applyAlignment="1">
      <alignment horizontal="center" vertical="center"/>
    </xf>
    <xf numFmtId="0" fontId="4" fillId="3" borderId="17"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20" xfId="0" applyFont="1" applyFill="1" applyBorder="1" applyAlignment="1">
      <alignment horizontal="center" vertical="center"/>
    </xf>
    <xf numFmtId="14" fontId="4" fillId="3" borderId="20" xfId="0" applyNumberFormat="1" applyFont="1" applyFill="1" applyBorder="1" applyAlignment="1">
      <alignment horizontal="center" vertical="center"/>
    </xf>
    <xf numFmtId="0" fontId="0" fillId="0" borderId="20" xfId="0" applyBorder="1"/>
    <xf numFmtId="0" fontId="4" fillId="3" borderId="21" xfId="0" applyFont="1" applyFill="1" applyBorder="1" applyAlignment="1">
      <alignment horizontal="center" vertical="center"/>
    </xf>
    <xf numFmtId="0" fontId="4" fillId="4" borderId="25" xfId="0" applyFont="1" applyFill="1" applyBorder="1" applyAlignment="1">
      <alignment horizontal="center" vertical="center"/>
    </xf>
    <xf numFmtId="0" fontId="4" fillId="4" borderId="26" xfId="0" applyFont="1" applyFill="1" applyBorder="1" applyAlignment="1">
      <alignment horizontal="center" vertical="center"/>
    </xf>
    <xf numFmtId="14" fontId="4" fillId="4" borderId="26" xfId="0" applyNumberFormat="1" applyFont="1" applyFill="1" applyBorder="1" applyAlignment="1">
      <alignment horizontal="center" vertical="center"/>
    </xf>
    <xf numFmtId="14" fontId="4" fillId="0" borderId="26" xfId="0" applyNumberFormat="1"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3" fillId="2" borderId="28"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6" fillId="6" borderId="29" xfId="0" applyFont="1" applyFill="1" applyBorder="1" applyAlignment="1">
      <alignment horizontal="center" vertical="center" wrapText="1"/>
    </xf>
    <xf numFmtId="0" fontId="7" fillId="7" borderId="29" xfId="0" applyFont="1" applyFill="1" applyBorder="1" applyAlignment="1">
      <alignment horizontal="center" vertical="center" wrapText="1"/>
    </xf>
    <xf numFmtId="0" fontId="7" fillId="8" borderId="29" xfId="0" applyFont="1" applyFill="1" applyBorder="1" applyAlignment="1">
      <alignment horizontal="center" vertical="center" wrapText="1"/>
    </xf>
    <xf numFmtId="0" fontId="7" fillId="9" borderId="29" xfId="0" applyFont="1" applyFill="1" applyBorder="1" applyAlignment="1">
      <alignment horizontal="center" vertical="center" wrapText="1"/>
    </xf>
    <xf numFmtId="0" fontId="7" fillId="9" borderId="30" xfId="0" applyFont="1" applyFill="1" applyBorder="1" applyAlignment="1">
      <alignment horizontal="center" vertical="center" wrapText="1"/>
    </xf>
    <xf numFmtId="3" fontId="4" fillId="4" borderId="16" xfId="0" applyNumberFormat="1" applyFont="1" applyFill="1" applyBorder="1" applyAlignment="1">
      <alignment horizontal="center" vertical="center"/>
    </xf>
    <xf numFmtId="14" fontId="4" fillId="3" borderId="16" xfId="0" applyNumberFormat="1" applyFont="1" applyFill="1" applyBorder="1" applyAlignment="1">
      <alignment horizontal="center" vertical="center" wrapText="1"/>
    </xf>
    <xf numFmtId="3" fontId="4" fillId="3" borderId="16" xfId="0" applyNumberFormat="1" applyFont="1" applyFill="1" applyBorder="1" applyAlignment="1">
      <alignment horizontal="center" vertical="center"/>
    </xf>
    <xf numFmtId="0" fontId="4" fillId="4" borderId="16"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16" xfId="0" quotePrefix="1" applyFont="1" applyFill="1" applyBorder="1" applyAlignment="1">
      <alignment horizontal="center" vertical="center"/>
    </xf>
    <xf numFmtId="0" fontId="7" fillId="7" borderId="29" xfId="0" applyFont="1" applyFill="1" applyBorder="1" applyAlignment="1">
      <alignment vertical="center" wrapText="1"/>
    </xf>
    <xf numFmtId="0" fontId="4" fillId="4" borderId="26" xfId="0" applyFont="1" applyFill="1" applyBorder="1" applyAlignment="1">
      <alignment vertical="center"/>
    </xf>
    <xf numFmtId="0" fontId="0" fillId="0" borderId="16" xfId="0" applyBorder="1" applyAlignment="1"/>
    <xf numFmtId="0" fontId="0" fillId="0" borderId="20" xfId="0" applyBorder="1" applyAlignment="1"/>
    <xf numFmtId="0" fontId="0" fillId="0" borderId="16" xfId="0" applyBorder="1" applyAlignment="1">
      <alignment horizontal="center"/>
    </xf>
    <xf numFmtId="3" fontId="4" fillId="3" borderId="16" xfId="0" applyNumberFormat="1" applyFont="1" applyFill="1" applyBorder="1" applyAlignment="1">
      <alignment horizontal="center" vertical="center" wrapText="1"/>
    </xf>
    <xf numFmtId="0" fontId="32" fillId="0" borderId="0" xfId="0" applyFont="1"/>
    <xf numFmtId="0" fontId="33" fillId="0" borderId="0" xfId="0" applyFont="1"/>
    <xf numFmtId="0" fontId="7" fillId="2" borderId="1" xfId="0" applyFont="1" applyFill="1" applyBorder="1" applyAlignment="1">
      <alignment horizontal="center" vertical="center"/>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0" xfId="0" applyFont="1" applyBorder="1" applyAlignment="1">
      <alignment horizontal="center" vertical="center"/>
    </xf>
    <xf numFmtId="0" fontId="2" fillId="0" borderId="0" xfId="0" applyFont="1" applyBorder="1" applyAlignment="1">
      <alignment horizontal="center"/>
    </xf>
    <xf numFmtId="0" fontId="2" fillId="0" borderId="0" xfId="0" applyFont="1" applyBorder="1" applyAlignment="1"/>
    <xf numFmtId="0" fontId="9" fillId="0" borderId="1" xfId="0" applyFont="1" applyBorder="1" applyAlignment="1"/>
    <xf numFmtId="0" fontId="9" fillId="13" borderId="1" xfId="0" applyFont="1" applyFill="1" applyBorder="1" applyAlignment="1"/>
    <xf numFmtId="0" fontId="9" fillId="12" borderId="1" xfId="0" applyFont="1" applyFill="1" applyBorder="1" applyAlignment="1"/>
    <xf numFmtId="0" fontId="8" fillId="9" borderId="0" xfId="0" applyFont="1" applyFill="1" applyBorder="1" applyAlignment="1"/>
    <xf numFmtId="0" fontId="9" fillId="11" borderId="1" xfId="0" applyFont="1" applyFill="1" applyBorder="1" applyAlignment="1"/>
    <xf numFmtId="0" fontId="8" fillId="8" borderId="0" xfId="0" applyFont="1" applyFill="1" applyBorder="1" applyAlignment="1"/>
    <xf numFmtId="0" fontId="5" fillId="0" borderId="1" xfId="0" applyFont="1" applyBorder="1" applyAlignment="1"/>
    <xf numFmtId="0" fontId="9" fillId="0" borderId="1" xfId="0" applyFont="1" applyBorder="1" applyAlignment="1">
      <alignment vertical="center"/>
    </xf>
    <xf numFmtId="0" fontId="9" fillId="11" borderId="1" xfId="0" applyFont="1" applyFill="1" applyBorder="1" applyAlignment="1">
      <alignment vertical="center"/>
    </xf>
    <xf numFmtId="0" fontId="8" fillId="7" borderId="0" xfId="0" applyFont="1" applyFill="1" applyBorder="1" applyAlignment="1"/>
    <xf numFmtId="0" fontId="8" fillId="2" borderId="0" xfId="0" applyFont="1" applyFill="1" applyBorder="1" applyAlignment="1"/>
    <xf numFmtId="0" fontId="8" fillId="10" borderId="0" xfId="0" applyFont="1" applyFill="1" applyBorder="1" applyAlignment="1"/>
    <xf numFmtId="0" fontId="15" fillId="3" borderId="1" xfId="0" applyFont="1" applyFill="1" applyBorder="1" applyAlignment="1">
      <alignment horizontal="right" vertical="top"/>
    </xf>
    <xf numFmtId="0" fontId="4" fillId="3" borderId="1" xfId="0" applyFont="1" applyFill="1" applyBorder="1" applyAlignment="1">
      <alignment vertical="top" wrapText="1"/>
    </xf>
    <xf numFmtId="0" fontId="13" fillId="3" borderId="1" xfId="0" applyFont="1" applyFill="1" applyBorder="1" applyAlignment="1">
      <alignment horizontal="right" vertical="top"/>
    </xf>
    <xf numFmtId="0" fontId="14" fillId="0" borderId="1" xfId="0" applyFont="1" applyBorder="1" applyAlignment="1">
      <alignment horizontal="right" vertical="top"/>
    </xf>
    <xf numFmtId="0" fontId="4" fillId="0" borderId="1" xfId="0" applyFont="1" applyBorder="1" applyAlignment="1">
      <alignment vertical="top" wrapText="1"/>
    </xf>
    <xf numFmtId="0" fontId="28" fillId="0" borderId="4" xfId="0" applyFont="1" applyBorder="1" applyAlignment="1">
      <alignment horizontal="center"/>
    </xf>
    <xf numFmtId="0" fontId="29" fillId="0" borderId="14" xfId="0" applyFont="1" applyBorder="1" applyAlignment="1">
      <alignment horizontal="center"/>
    </xf>
    <xf numFmtId="0" fontId="22" fillId="0" borderId="8" xfId="0" applyFont="1" applyBorder="1" applyAlignment="1">
      <alignment horizontal="right" vertical="center"/>
    </xf>
    <xf numFmtId="0" fontId="9" fillId="0" borderId="9" xfId="0" applyFont="1" applyBorder="1" applyAlignment="1">
      <alignment horizontal="center" vertical="center"/>
    </xf>
    <xf numFmtId="0" fontId="22" fillId="0" borderId="5" xfId="0" applyFont="1" applyBorder="1" applyAlignment="1">
      <alignment horizontal="center"/>
    </xf>
    <xf numFmtId="0" fontId="22" fillId="0" borderId="6" xfId="0" applyFont="1" applyBorder="1" applyAlignment="1">
      <alignment horizontal="center"/>
    </xf>
    <xf numFmtId="0" fontId="0" fillId="0" borderId="12" xfId="0" applyBorder="1" applyAlignment="1"/>
    <xf numFmtId="0" fontId="0" fillId="0" borderId="13" xfId="0" applyBorder="1" applyAlignment="1"/>
    <xf numFmtId="0" fontId="9" fillId="0" borderId="8" xfId="0" applyFont="1" applyBorder="1" applyAlignment="1">
      <alignment horizontal="right" vertical="center"/>
    </xf>
    <xf numFmtId="0" fontId="27" fillId="0" borderId="9" xfId="0" applyFont="1" applyBorder="1" applyAlignment="1">
      <alignment horizontal="center" vertical="center"/>
    </xf>
    <xf numFmtId="14" fontId="20" fillId="0" borderId="9" xfId="0" applyNumberFormat="1" applyFont="1" applyBorder="1" applyAlignment="1">
      <alignment horizontal="center" vertical="center"/>
    </xf>
    <xf numFmtId="0" fontId="12" fillId="0" borderId="9" xfId="0" applyFont="1" applyBorder="1" applyAlignment="1">
      <alignment horizontal="center" vertical="center"/>
    </xf>
    <xf numFmtId="0" fontId="23" fillId="0" borderId="8" xfId="0" applyFont="1" applyBorder="1" applyAlignment="1">
      <alignment vertical="center"/>
    </xf>
    <xf numFmtId="0" fontId="24" fillId="0" borderId="9" xfId="0" applyFont="1" applyBorder="1" applyAlignment="1">
      <alignment horizontal="center" vertical="center"/>
    </xf>
    <xf numFmtId="0" fontId="25" fillId="10" borderId="10" xfId="0" applyFont="1" applyFill="1" applyBorder="1" applyAlignment="1">
      <alignment horizontal="right" vertical="center"/>
    </xf>
    <xf numFmtId="0" fontId="26" fillId="10" borderId="11" xfId="0" applyFont="1" applyFill="1" applyBorder="1" applyAlignment="1">
      <alignment horizontal="center" vertical="center"/>
    </xf>
    <xf numFmtId="0" fontId="21" fillId="15" borderId="7" xfId="0" applyFont="1" applyFill="1" applyBorder="1" applyAlignment="1"/>
    <xf numFmtId="0" fontId="9" fillId="0" borderId="8" xfId="0" applyFont="1" applyBorder="1" applyAlignment="1">
      <alignment vertical="center"/>
    </xf>
    <xf numFmtId="0" fontId="9" fillId="0" borderId="1" xfId="0" applyFont="1" applyBorder="1" applyAlignment="1">
      <alignment horizontal="center" vertical="center"/>
    </xf>
    <xf numFmtId="0" fontId="4" fillId="0" borderId="9" xfId="0" applyFont="1" applyBorder="1" applyAlignment="1">
      <alignment vertical="center"/>
    </xf>
    <xf numFmtId="0" fontId="7" fillId="2" borderId="8"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9" xfId="0" applyFont="1" applyFill="1" applyBorder="1" applyAlignment="1">
      <alignment horizontal="center" vertical="center"/>
    </xf>
    <xf numFmtId="14" fontId="4" fillId="0" borderId="1" xfId="0" applyNumberFormat="1" applyFont="1" applyBorder="1" applyAlignment="1">
      <alignment vertical="center"/>
    </xf>
    <xf numFmtId="0" fontId="22" fillId="0" borderId="1" xfId="0" applyFont="1" applyBorder="1" applyAlignment="1">
      <alignment horizontal="right" vertical="center"/>
    </xf>
    <xf numFmtId="0" fontId="4" fillId="0" borderId="9" xfId="0" applyFont="1" applyBorder="1" applyAlignment="1">
      <alignment horizontal="left" vertical="center"/>
    </xf>
    <xf numFmtId="0" fontId="4" fillId="0" borderId="1" xfId="0" applyFont="1" applyBorder="1" applyAlignment="1">
      <alignment vertical="center"/>
    </xf>
    <xf numFmtId="0" fontId="19" fillId="2" borderId="4" xfId="0" applyFont="1" applyFill="1" applyBorder="1" applyAlignment="1">
      <alignment horizontal="center" vertical="center"/>
    </xf>
    <xf numFmtId="0" fontId="9" fillId="0" borderId="5" xfId="0" applyFont="1" applyBorder="1" applyAlignment="1"/>
    <xf numFmtId="0" fontId="20" fillId="0" borderId="6" xfId="0" applyFont="1" applyBorder="1" applyAlignment="1">
      <alignment horizontal="right"/>
    </xf>
    <xf numFmtId="0" fontId="21" fillId="15" borderId="7" xfId="0" applyFont="1" applyFill="1" applyBorder="1" applyAlignment="1">
      <alignment vertical="center"/>
    </xf>
    <xf numFmtId="0" fontId="3" fillId="10" borderId="0" xfId="0" applyFont="1" applyFill="1" applyBorder="1" applyAlignment="1">
      <alignment horizontal="center" vertical="center"/>
    </xf>
    <xf numFmtId="0" fontId="11" fillId="0" borderId="0" xfId="0" applyFont="1" applyBorder="1" applyAlignment="1">
      <alignment horizontal="right" vertical="center"/>
    </xf>
    <xf numFmtId="0" fontId="12" fillId="0" borderId="0" xfId="0" applyFont="1" applyBorder="1" applyAlignment="1">
      <alignment horizontal="left" vertical="center"/>
    </xf>
    <xf numFmtId="0" fontId="1" fillId="0" borderId="3" xfId="0" applyFont="1" applyBorder="1" applyAlignment="1">
      <alignment horizontal="center" vertical="center"/>
    </xf>
    <xf numFmtId="0" fontId="18" fillId="0" borderId="4" xfId="0" applyFont="1" applyBorder="1" applyAlignment="1">
      <alignment horizontal="center"/>
    </xf>
  </cellXfs>
  <cellStyles count="1">
    <cellStyle name="Normal" xfId="0" builtinId="0"/>
  </cellStyles>
  <dxfs count="16">
    <dxf>
      <font>
        <b/>
        <sz val="14"/>
        <color rgb="FFEF6C00"/>
      </font>
      <fill>
        <patternFill>
          <bgColor rgb="FFFFF8E1"/>
        </patternFill>
      </fill>
    </dxf>
    <dxf>
      <font>
        <b/>
        <sz val="14"/>
        <color rgb="FFC62828"/>
      </font>
      <fill>
        <patternFill>
          <bgColor rgb="FFFFCDD2"/>
        </patternFill>
      </fill>
    </dxf>
    <dxf>
      <font>
        <b/>
        <sz val="14"/>
        <color rgb="FF1B5E20"/>
      </font>
      <fill>
        <patternFill>
          <bgColor rgb="FFC8E6C9"/>
        </patternFill>
      </fill>
    </dxf>
    <dxf>
      <font>
        <b/>
        <color rgb="FFEF6C00"/>
      </font>
      <fill>
        <patternFill>
          <bgColor rgb="FFFFF8E1"/>
        </patternFill>
      </fill>
    </dxf>
    <dxf>
      <font>
        <b/>
        <color rgb="FF1B5E20"/>
      </font>
      <fill>
        <patternFill>
          <bgColor rgb="FFC8E6C9"/>
        </patternFill>
      </fill>
    </dxf>
    <dxf>
      <font>
        <b/>
        <color rgb="FFC62828"/>
      </font>
      <fill>
        <patternFill>
          <bgColor rgb="FFFFCDD2"/>
        </patternFill>
      </fill>
    </dxf>
    <dxf>
      <font>
        <b/>
        <color rgb="FFEF6C00"/>
      </font>
      <fill>
        <patternFill>
          <bgColor rgb="FFFFF8E1"/>
        </patternFill>
      </fill>
    </dxf>
    <dxf>
      <font>
        <b/>
        <color rgb="FFC62828"/>
      </font>
      <fill>
        <patternFill>
          <bgColor rgb="FFFFCDD2"/>
        </patternFill>
      </fill>
    </dxf>
    <dxf>
      <font>
        <b/>
        <color rgb="FF1B5E20"/>
      </font>
      <fill>
        <patternFill>
          <bgColor rgb="FFC8E6C9"/>
        </patternFill>
      </fill>
    </dxf>
    <dxf>
      <font>
        <b/>
        <color rgb="FFEF6C00"/>
      </font>
      <fill>
        <patternFill>
          <bgColor rgb="FFFFF8E1"/>
        </patternFill>
      </fill>
    </dxf>
    <dxf>
      <font>
        <b/>
        <color rgb="FF1B5E20"/>
      </font>
      <fill>
        <patternFill>
          <bgColor rgb="FFC8E6C9"/>
        </patternFill>
      </fill>
    </dxf>
    <dxf>
      <font>
        <b/>
        <color rgb="FFC62828"/>
      </font>
      <fill>
        <patternFill>
          <bgColor rgb="FFFFCDD2"/>
        </patternFill>
      </fill>
    </dxf>
    <dxf>
      <font>
        <b/>
        <color rgb="FFC62828"/>
      </font>
      <fill>
        <patternFill>
          <bgColor rgb="FFFFCDD2"/>
        </patternFill>
      </fill>
    </dxf>
    <dxf>
      <font>
        <b/>
        <color rgb="FFF57F17"/>
      </font>
      <fill>
        <patternFill>
          <bgColor rgb="FFFFF9C4"/>
        </patternFill>
      </fill>
    </dxf>
    <dxf>
      <font>
        <b/>
        <color rgb="FFC62828"/>
      </font>
      <fill>
        <patternFill>
          <bgColor rgb="FFFFCDD2"/>
        </patternFill>
      </fill>
    </dxf>
    <dxf>
      <font>
        <b/>
        <color rgb="FF1B5E20"/>
      </font>
      <fill>
        <patternFill>
          <bgColor rgb="FFC8E6C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080"/>
      <rgbColor rgb="FFBDBDBD"/>
      <rgbColor rgb="FF757575"/>
      <rgbColor rgb="FF9999FF"/>
      <rgbColor rgb="FF993366"/>
      <rgbColor rgb="FFFFF9C4"/>
      <rgbColor rgb="FFE8F5E9"/>
      <rgbColor rgb="FF660066"/>
      <rgbColor rgb="FFF57F17"/>
      <rgbColor rgb="FF1565C0"/>
      <rgbColor rgb="FFE0E0E0"/>
      <rgbColor rgb="FF000080"/>
      <rgbColor rgb="FFFF00FF"/>
      <rgbColor rgb="FFFFFF00"/>
      <rgbColor rgb="FF00FFFF"/>
      <rgbColor rgb="FF800080"/>
      <rgbColor rgb="FF800000"/>
      <rgbColor rgb="FF008080"/>
      <rgbColor rgb="FF0000FF"/>
      <rgbColor rgb="FF00CCFF"/>
      <rgbColor rgb="FFF5F5F5"/>
      <rgbColor rgb="FFC8E6C9"/>
      <rgbColor rgb="FFFFF8E1"/>
      <rgbColor rgb="FFFFEBEE"/>
      <rgbColor rgb="FFFFF3E0"/>
      <rgbColor rgb="FFCC99FF"/>
      <rgbColor rgb="FFFFCDD2"/>
      <rgbColor rgb="FF3366FF"/>
      <rgbColor rgb="FF33CCCC"/>
      <rgbColor rgb="FF99CC00"/>
      <rgbColor rgb="FFFFCC00"/>
      <rgbColor rgb="FFF9A825"/>
      <rgbColor rgb="FFEF6C00"/>
      <rgbColor rgb="FF616161"/>
      <rgbColor rgb="FF9E9E9E"/>
      <rgbColor rgb="FF003366"/>
      <rgbColor rgb="FF2E7D32"/>
      <rgbColor rgb="FF003300"/>
      <rgbColor rgb="FF212121"/>
      <rgbColor rgb="FFC62828"/>
      <rgbColor rgb="FF993366"/>
      <rgbColor rgb="FF333399"/>
      <rgbColor rgb="FF42424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666360</xdr:colOff>
      <xdr:row>1</xdr:row>
      <xdr:rowOff>161640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666360" cy="6663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171000</xdr:colOff>
      <xdr:row>0</xdr:row>
      <xdr:rowOff>490818</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b="5747"/>
        <a:stretch/>
      </xdr:blipFill>
      <xdr:spPr>
        <a:xfrm>
          <a:off x="0" y="0"/>
          <a:ext cx="513900" cy="490818"/>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523440</xdr:colOff>
      <xdr:row>0</xdr:row>
      <xdr:rowOff>490781</xdr:rowOff>
    </xdr:to>
    <xdr:pic>
      <xdr:nvPicPr>
        <xdr:cNvPr id="2" name="Image 1" descr="Picture">
          <a:extLst>
            <a:ext uri="{FF2B5EF4-FFF2-40B4-BE49-F238E27FC236}">
              <a16:creationId xmlns:a16="http://schemas.microsoft.com/office/drawing/2014/main" id="{00000000-0008-0000-0200-000002000000}"/>
            </a:ext>
          </a:extLst>
        </xdr:cNvPr>
        <xdr:cNvPicPr/>
      </xdr:nvPicPr>
      <xdr:blipFill rotWithShape="1">
        <a:blip xmlns:r="http://schemas.openxmlformats.org/officeDocument/2006/relationships" r:embed="rId1"/>
        <a:srcRect b="6056"/>
        <a:stretch/>
      </xdr:blipFill>
      <xdr:spPr>
        <a:xfrm>
          <a:off x="0" y="1"/>
          <a:ext cx="523440" cy="4907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175260</xdr:colOff>
      <xdr:row>0</xdr:row>
      <xdr:rowOff>38100</xdr:rowOff>
    </xdr:from>
    <xdr:to>
      <xdr:col>1</xdr:col>
      <xdr:colOff>346260</xdr:colOff>
      <xdr:row>0</xdr:row>
      <xdr:rowOff>559740</xdr:rowOff>
    </xdr:to>
    <xdr:pic>
      <xdr:nvPicPr>
        <xdr:cNvPr id="3" name="Image 1"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175260" y="38100"/>
          <a:ext cx="513900" cy="5216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65808</xdr:colOff>
      <xdr:row>3</xdr:row>
      <xdr:rowOff>13854</xdr:rowOff>
    </xdr:from>
    <xdr:to>
      <xdr:col>0</xdr:col>
      <xdr:colOff>699654</xdr:colOff>
      <xdr:row>5</xdr:row>
      <xdr:rowOff>0</xdr:rowOff>
    </xdr:to>
    <xdr:pic>
      <xdr:nvPicPr>
        <xdr:cNvPr id="4" name="Image 1" descr="Picture">
          <a:extLst>
            <a:ext uri="{FF2B5EF4-FFF2-40B4-BE49-F238E27FC236}">
              <a16:creationId xmlns:a16="http://schemas.microsoft.com/office/drawing/2014/main" id="{00000000-0008-0000-0400-000004000000}"/>
            </a:ext>
          </a:extLst>
        </xdr:cNvPr>
        <xdr:cNvPicPr/>
      </xdr:nvPicPr>
      <xdr:blipFill rotWithShape="1">
        <a:blip xmlns:r="http://schemas.openxmlformats.org/officeDocument/2006/relationships" r:embed="rId1"/>
        <a:srcRect l="8184" t="7782" r="8607" b="11646"/>
        <a:stretch/>
      </xdr:blipFill>
      <xdr:spPr>
        <a:xfrm>
          <a:off x="65808" y="727363"/>
          <a:ext cx="633846" cy="609601"/>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CF50BD1-6458-48D4-890D-B8447CF8F56B}">
  <we:reference id="wa200009404" version="1.0.0.8" store="en-US" storeType="OMEX"/>
  <we:alternateReferences>
    <we:reference id="wa200009404" version="1.0.0.8" store="" storeType="OMEX"/>
  </we:alternateReferences>
  <we:properties>
    <we:property name="claude.fileId" value="&quot;4c387b6f-86a1-4235-94fd-daa0b7bde89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Normal="100" workbookViewId="0">
      <selection activeCell="G11" sqref="G11"/>
    </sheetView>
  </sheetViews>
  <sheetFormatPr defaultColWidth="8.7109375" defaultRowHeight="14.45"/>
  <cols>
    <col min="1" max="4" width="22" style="1" customWidth="1"/>
  </cols>
  <sheetData>
    <row r="1" spans="1:4" ht="39.75" customHeight="1">
      <c r="A1" s="89" t="s">
        <v>0</v>
      </c>
      <c r="B1" s="89"/>
      <c r="C1" s="89"/>
      <c r="D1" s="89"/>
    </row>
    <row r="2" spans="1:4" ht="15" customHeight="1">
      <c r="A2" s="90" t="s">
        <v>1</v>
      </c>
      <c r="B2" s="90"/>
      <c r="C2" s="90"/>
      <c r="D2" s="90"/>
    </row>
    <row r="4" spans="1:4" ht="15" customHeight="1">
      <c r="A4" s="91" t="s">
        <v>2</v>
      </c>
      <c r="B4" s="91"/>
      <c r="C4" s="91"/>
      <c r="D4" s="91"/>
    </row>
    <row r="5" spans="1:4" ht="15" customHeight="1">
      <c r="A5" s="2" t="s">
        <v>3</v>
      </c>
      <c r="B5" s="2" t="s">
        <v>4</v>
      </c>
      <c r="C5" s="2" t="s">
        <v>5</v>
      </c>
      <c r="D5" s="2" t="s">
        <v>6</v>
      </c>
    </row>
    <row r="6" spans="1:4" ht="15" customHeight="1">
      <c r="A6" s="8" t="s">
        <v>7</v>
      </c>
      <c r="B6" s="8">
        <v>3</v>
      </c>
      <c r="C6" s="8">
        <v>5</v>
      </c>
      <c r="D6" s="8">
        <v>2500</v>
      </c>
    </row>
    <row r="7" spans="1:4" ht="15" customHeight="1">
      <c r="A7" s="3" t="s">
        <v>8</v>
      </c>
      <c r="B7" s="3">
        <v>5</v>
      </c>
      <c r="C7" s="3">
        <v>7</v>
      </c>
      <c r="D7" s="3">
        <v>3000</v>
      </c>
    </row>
    <row r="8" spans="1:4" ht="15" customHeight="1">
      <c r="A8" s="8" t="s">
        <v>9</v>
      </c>
      <c r="B8" s="8">
        <v>7</v>
      </c>
      <c r="C8" s="8">
        <v>9</v>
      </c>
      <c r="D8" s="8">
        <v>3500</v>
      </c>
    </row>
    <row r="9" spans="1:4" ht="15" customHeight="1">
      <c r="A9" s="3" t="s">
        <v>10</v>
      </c>
      <c r="B9" s="3">
        <v>9</v>
      </c>
      <c r="C9" s="3">
        <v>11</v>
      </c>
      <c r="D9" s="3">
        <v>4000</v>
      </c>
    </row>
    <row r="10" spans="1:4" ht="15" customHeight="1">
      <c r="A10" s="8" t="s">
        <v>11</v>
      </c>
      <c r="B10" s="8">
        <v>10</v>
      </c>
      <c r="C10" s="8">
        <v>12</v>
      </c>
      <c r="D10" s="8">
        <v>4000</v>
      </c>
    </row>
    <row r="11" spans="1:4" ht="15" customHeight="1">
      <c r="A11" s="3" t="s">
        <v>12</v>
      </c>
      <c r="B11" s="3">
        <v>11</v>
      </c>
      <c r="C11" s="3">
        <v>13</v>
      </c>
      <c r="D11" s="3">
        <v>4500</v>
      </c>
    </row>
    <row r="12" spans="1:4" ht="15" customHeight="1">
      <c r="A12" s="8" t="s">
        <v>13</v>
      </c>
      <c r="B12" s="8">
        <v>13</v>
      </c>
      <c r="C12" s="8">
        <v>15</v>
      </c>
      <c r="D12" s="8">
        <v>5000</v>
      </c>
    </row>
    <row r="13" spans="1:4" ht="15" customHeight="1">
      <c r="A13" s="37" t="s">
        <v>14</v>
      </c>
      <c r="B13" s="37">
        <v>13</v>
      </c>
      <c r="C13" s="37">
        <v>15</v>
      </c>
      <c r="D13" s="37">
        <v>5000</v>
      </c>
    </row>
    <row r="16" spans="1:4" ht="15" customHeight="1">
      <c r="A16" s="91" t="s">
        <v>15</v>
      </c>
      <c r="B16" s="91"/>
      <c r="C16" s="91"/>
      <c r="D16" s="91"/>
    </row>
    <row r="17" spans="1:4" ht="15" customHeight="1">
      <c r="A17" s="4" t="s">
        <v>16</v>
      </c>
      <c r="B17" s="4" t="s">
        <v>17</v>
      </c>
      <c r="C17" s="4"/>
      <c r="D17" s="4">
        <v>2500</v>
      </c>
    </row>
    <row r="19" spans="1:4" ht="15" customHeight="1">
      <c r="A19" s="91" t="s">
        <v>18</v>
      </c>
      <c r="B19" s="91"/>
      <c r="C19" s="91"/>
      <c r="D19" s="91"/>
    </row>
    <row r="20" spans="1:4" ht="15" customHeight="1">
      <c r="A20" s="5" t="s">
        <v>19</v>
      </c>
      <c r="B20" s="5"/>
      <c r="C20" s="5"/>
      <c r="D20" s="6">
        <v>0.2</v>
      </c>
    </row>
  </sheetData>
  <sheetProtection sheet="1" objects="1" scenarios="1"/>
  <mergeCells count="5">
    <mergeCell ref="A1:D1"/>
    <mergeCell ref="A2:D2"/>
    <mergeCell ref="A4:D4"/>
    <mergeCell ref="A16:D16"/>
    <mergeCell ref="A19:D19"/>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32"/>
  </sheetPr>
  <dimension ref="A1:X202"/>
  <sheetViews>
    <sheetView tabSelected="1" zoomScale="70" zoomScaleNormal="70" workbookViewId="0">
      <pane ySplit="2" topLeftCell="D3" activePane="bottomLeft" state="frozen"/>
      <selection pane="bottomLeft" activeCell="Q9" sqref="Q9"/>
    </sheetView>
  </sheetViews>
  <sheetFormatPr defaultColWidth="8.7109375" defaultRowHeight="14.45"/>
  <cols>
    <col min="1" max="1" width="5" style="1" customWidth="1"/>
    <col min="2" max="3" width="18" style="1" customWidth="1"/>
    <col min="4" max="4" width="16" style="1" customWidth="1"/>
    <col min="5" max="6" width="6" style="1" customWidth="1"/>
    <col min="7" max="7" width="18" style="1" customWidth="1"/>
    <col min="8" max="8" width="22" style="1" customWidth="1"/>
    <col min="9" max="9" width="10" style="1" customWidth="1"/>
    <col min="10" max="10" width="14" style="1" customWidth="1"/>
    <col min="11" max="11" width="14.42578125" style="1" customWidth="1"/>
    <col min="12" max="12" width="14" style="1" customWidth="1"/>
    <col min="13" max="13" width="11.7109375" style="1" customWidth="1"/>
    <col min="14" max="14" width="14" style="1" customWidth="1"/>
    <col min="15" max="16" width="16" style="1" customWidth="1"/>
    <col min="17" max="17" width="28.28515625" style="1" customWidth="1"/>
    <col min="18" max="18" width="18" style="1" customWidth="1"/>
    <col min="19" max="20" width="14" style="1" customWidth="1"/>
  </cols>
  <sheetData>
    <row r="1" spans="1:20" ht="39.75" customHeight="1" thickBot="1">
      <c r="A1" s="86" t="s">
        <v>20</v>
      </c>
      <c r="B1" s="87"/>
      <c r="C1" s="87"/>
      <c r="D1" s="87"/>
      <c r="E1" s="87"/>
      <c r="F1" s="87"/>
      <c r="G1" s="87"/>
      <c r="H1" s="87"/>
      <c r="I1" s="87"/>
      <c r="J1" s="87"/>
      <c r="K1" s="87"/>
      <c r="L1" s="87"/>
      <c r="M1" s="87"/>
      <c r="N1" s="87"/>
      <c r="O1" s="87"/>
      <c r="P1" s="87"/>
      <c r="Q1" s="87"/>
      <c r="R1" s="87"/>
      <c r="S1" s="87"/>
      <c r="T1" s="88"/>
    </row>
    <row r="2" spans="1:20" ht="26.25" customHeight="1" thickBot="1">
      <c r="A2" s="64" t="s">
        <v>21</v>
      </c>
      <c r="B2" s="65" t="s">
        <v>22</v>
      </c>
      <c r="C2" s="65" t="s">
        <v>23</v>
      </c>
      <c r="D2" s="65" t="s">
        <v>24</v>
      </c>
      <c r="E2" s="65" t="s">
        <v>25</v>
      </c>
      <c r="F2" s="65" t="s">
        <v>26</v>
      </c>
      <c r="G2" s="65" t="s">
        <v>27</v>
      </c>
      <c r="H2" s="65" t="s">
        <v>28</v>
      </c>
      <c r="I2" s="66" t="s">
        <v>29</v>
      </c>
      <c r="J2" s="66" t="s">
        <v>30</v>
      </c>
      <c r="K2" s="77" t="s">
        <v>31</v>
      </c>
      <c r="L2" s="67" t="s">
        <v>32</v>
      </c>
      <c r="M2" s="77" t="s">
        <v>33</v>
      </c>
      <c r="N2" s="67" t="s">
        <v>34</v>
      </c>
      <c r="O2" s="68" t="s">
        <v>35</v>
      </c>
      <c r="P2" s="68" t="s">
        <v>36</v>
      </c>
      <c r="Q2" s="65" t="s">
        <v>37</v>
      </c>
      <c r="R2" s="69" t="s">
        <v>38</v>
      </c>
      <c r="S2" s="69" t="s">
        <v>39</v>
      </c>
      <c r="T2" s="70" t="s">
        <v>40</v>
      </c>
    </row>
    <row r="3" spans="1:20" ht="15" customHeight="1">
      <c r="A3" s="58">
        <v>1</v>
      </c>
      <c r="B3" s="59" t="s">
        <v>41</v>
      </c>
      <c r="C3" s="59" t="s">
        <v>42</v>
      </c>
      <c r="D3" s="60">
        <v>43271</v>
      </c>
      <c r="E3" s="59">
        <f t="shared" ref="E3:E34" ca="1" si="0">IF(D3="","",DATEDIF(D3,TODAY(),"Y"))</f>
        <v>7</v>
      </c>
      <c r="F3" s="59" t="s">
        <v>43</v>
      </c>
      <c r="G3" s="59" t="s">
        <v>44</v>
      </c>
      <c r="H3" s="59" t="s">
        <v>45</v>
      </c>
      <c r="I3" s="59" t="s">
        <v>46</v>
      </c>
      <c r="J3" s="59" t="s">
        <v>47</v>
      </c>
      <c r="K3" s="59" t="str">
        <f ca="1">IF(I3&lt;&gt;"Oui","",IF(E3="","",IF(E3&lt;5,"U5",IF(E3&lt;7,"U7",IF(E3&lt;9,"U9",IF(E3&lt;10,"U11",IF(F3="F",IF(E3&lt;12,"U12F","U15F"),IF(E3&lt;11,"U11",IF(E3&lt;13,"U13","U15")))))))))</f>
        <v>U9</v>
      </c>
      <c r="L3" s="59">
        <v>1750</v>
      </c>
      <c r="M3" s="78"/>
      <c r="N3" s="59">
        <f>IF(AND(I3="Oui",J3="Oui"),(L3+M3)*(1-Paramètres!$D$20),L3+M3)</f>
        <v>1750</v>
      </c>
      <c r="O3" s="59" t="s">
        <v>48</v>
      </c>
      <c r="P3" s="60">
        <v>46122</v>
      </c>
      <c r="Q3" s="59" t="s">
        <v>49</v>
      </c>
      <c r="R3" s="61"/>
      <c r="S3" s="62" t="str">
        <f t="shared" ref="S3:S34" ca="1" si="1">IF(OR(B3="",R3="",O3="Payé"),"",MAX(0,TODAY()-R3))</f>
        <v/>
      </c>
      <c r="T3" s="63" t="str">
        <f t="shared" ref="T3:T34" ca="1" si="2">IF(B3="","",IF(O3="Payé","✅ À jour",IF(R3="","⏳ Pas de date",IF(TODAY()&gt;R3,"🔴 En retard",IF(R3-TODAY()&lt;=7,"🟡 Bientôt dû","🟢 Dans les temps")))))</f>
        <v>✅ À jour</v>
      </c>
    </row>
    <row r="4" spans="1:20" ht="15" customHeight="1">
      <c r="A4" s="51">
        <v>2</v>
      </c>
      <c r="B4" s="59" t="s">
        <v>41</v>
      </c>
      <c r="C4" s="46" t="s">
        <v>50</v>
      </c>
      <c r="D4" s="47">
        <v>42394</v>
      </c>
      <c r="E4" s="46">
        <f t="shared" ca="1" si="0"/>
        <v>10</v>
      </c>
      <c r="F4" s="46" t="s">
        <v>43</v>
      </c>
      <c r="G4" s="59" t="s">
        <v>44</v>
      </c>
      <c r="H4" s="46" t="s">
        <v>45</v>
      </c>
      <c r="I4" s="46" t="s">
        <v>46</v>
      </c>
      <c r="J4" s="46" t="s">
        <v>47</v>
      </c>
      <c r="K4" s="81" t="str">
        <f ca="1">IF(I4&lt;&gt;"Oui","",IF(E4="","",IF(E4&lt;5,"U5",IF(E4&lt;7,"U7",IF(E4&lt;9,"U9",IF(E4&lt;10,"U11",IF(F4="F",IF(E4&lt;12,"U12F","U15F"),IF(E4&lt;11,"U11",IF(E4&lt;13,"U13","U15")))))))))</f>
        <v>U11</v>
      </c>
      <c r="L4" s="48">
        <v>1750</v>
      </c>
      <c r="M4" s="79"/>
      <c r="N4" s="59">
        <f>IF(AND(I4="Oui",J4="Oui"),(L4+M4)*(1-Paramètres!$D$20),L4+M4)</f>
        <v>1750</v>
      </c>
      <c r="O4" s="46" t="s">
        <v>48</v>
      </c>
      <c r="P4" s="47">
        <v>46122</v>
      </c>
      <c r="Q4" s="59" t="s">
        <v>49</v>
      </c>
      <c r="R4" s="47">
        <v>46096</v>
      </c>
      <c r="S4" s="46" t="str">
        <f t="shared" ca="1" si="1"/>
        <v/>
      </c>
      <c r="T4" s="52" t="str">
        <f t="shared" ca="1" si="2"/>
        <v>✅ À jour</v>
      </c>
    </row>
    <row r="5" spans="1:20" ht="15" customHeight="1">
      <c r="A5" s="49">
        <v>3</v>
      </c>
      <c r="B5" s="42" t="s">
        <v>51</v>
      </c>
      <c r="C5" s="42" t="s">
        <v>52</v>
      </c>
      <c r="D5" s="43">
        <v>42071</v>
      </c>
      <c r="E5" s="42">
        <f t="shared" ca="1" si="0"/>
        <v>11</v>
      </c>
      <c r="F5" s="42" t="s">
        <v>43</v>
      </c>
      <c r="G5" s="42" t="s">
        <v>53</v>
      </c>
      <c r="H5" s="42" t="s">
        <v>54</v>
      </c>
      <c r="I5" s="42" t="s">
        <v>46</v>
      </c>
      <c r="J5" s="42" t="s">
        <v>47</v>
      </c>
      <c r="K5" s="81" t="str">
        <f ca="1">IF(I5&lt;&gt;"Oui","",IF(E5="","",IF(E5&lt;5,"U5",IF(E5&lt;7,"U7",IF(E5&lt;9,"U9",IF(E5&lt;10,"U11",IF(F5="F",IF(E5&lt;12,"U12F","U15F"),IF(E5&lt;11,"U11",IF(E5&lt;13,"U13","U15")))))))))</f>
        <v>U13</v>
      </c>
      <c r="L5" s="48">
        <v>2000</v>
      </c>
      <c r="M5" s="79"/>
      <c r="N5" s="59">
        <f>IF(AND(I5="Oui",J5="Oui"),(L5+M5)*(1-Paramètres!$D$20),L5+M5)</f>
        <v>2000</v>
      </c>
      <c r="O5" s="42" t="s">
        <v>48</v>
      </c>
      <c r="P5" s="43">
        <v>46122</v>
      </c>
      <c r="Q5" s="42" t="s">
        <v>55</v>
      </c>
      <c r="R5" s="44">
        <v>46142</v>
      </c>
      <c r="S5" s="45" t="str">
        <f t="shared" ca="1" si="1"/>
        <v/>
      </c>
      <c r="T5" s="50" t="str">
        <f t="shared" ca="1" si="2"/>
        <v>✅ À jour</v>
      </c>
    </row>
    <row r="6" spans="1:20" ht="15" customHeight="1">
      <c r="A6" s="51">
        <v>4</v>
      </c>
      <c r="B6" s="42" t="s">
        <v>56</v>
      </c>
      <c r="C6" s="46" t="s">
        <v>57</v>
      </c>
      <c r="D6" s="47">
        <v>42138</v>
      </c>
      <c r="E6" s="46">
        <f t="shared" ca="1" si="0"/>
        <v>10</v>
      </c>
      <c r="F6" s="46" t="s">
        <v>43</v>
      </c>
      <c r="G6" s="46" t="s">
        <v>58</v>
      </c>
      <c r="H6" s="46" t="s">
        <v>59</v>
      </c>
      <c r="I6" s="46" t="s">
        <v>46</v>
      </c>
      <c r="J6" s="46" t="s">
        <v>47</v>
      </c>
      <c r="K6" s="81" t="str">
        <f ca="1">IF(I6&lt;&gt;"Oui","",IF(E6="","",IF(E6&lt;5,"U5",IF(E6&lt;7,"U7",IF(E6&lt;9,"U9",IF(E6&lt;10,"U11",IF(F6="F",IF(E6&lt;12,"U12F","U15F"),IF(E6&lt;11,"U11",IF(E6&lt;13,"U13","U15")))))))))</f>
        <v>U11</v>
      </c>
      <c r="L6" s="48">
        <v>1000</v>
      </c>
      <c r="M6" s="79"/>
      <c r="N6" s="59">
        <f>IF(AND(I6="Oui",J6="Oui"),(L6+M6)*(1-Paramètres!$D$20),L6+M6)</f>
        <v>1000</v>
      </c>
      <c r="O6" s="46" t="s">
        <v>60</v>
      </c>
      <c r="P6" s="47">
        <v>46119</v>
      </c>
      <c r="Q6" s="46" t="s">
        <v>61</v>
      </c>
      <c r="R6" s="47">
        <v>46117</v>
      </c>
      <c r="S6" s="46">
        <f t="shared" ca="1" si="1"/>
        <v>27</v>
      </c>
      <c r="T6" s="52" t="str">
        <f t="shared" ca="1" si="2"/>
        <v>🔴 En retard</v>
      </c>
    </row>
    <row r="7" spans="1:20" ht="15" customHeight="1">
      <c r="A7" s="49">
        <v>5</v>
      </c>
      <c r="B7" s="42" t="s">
        <v>56</v>
      </c>
      <c r="C7" s="42" t="s">
        <v>62</v>
      </c>
      <c r="D7" s="43">
        <v>43781</v>
      </c>
      <c r="E7" s="42">
        <f t="shared" ca="1" si="0"/>
        <v>6</v>
      </c>
      <c r="F7" s="42" t="s">
        <v>43</v>
      </c>
      <c r="G7" s="46" t="s">
        <v>63</v>
      </c>
      <c r="H7" s="42" t="s">
        <v>64</v>
      </c>
      <c r="I7" s="42" t="s">
        <v>46</v>
      </c>
      <c r="J7" s="42" t="s">
        <v>47</v>
      </c>
      <c r="K7" s="81" t="str">
        <f t="shared" ref="K7:K70" ca="1" si="3">IF(I7&lt;&gt;"Oui","",IF(E7="","",IF(E7&lt;5,"U5",IF(E7&lt;7,"U7",IF(E7&lt;9,"U9",IF(E7&lt;10,"U11",IF(F7="F",IF(E7&lt;12,"U12F","U15F"),IF(E7&lt;11,"U11",IF(E7&lt;13,"U13","U15")))))))))</f>
        <v>U7</v>
      </c>
      <c r="L7" s="48">
        <v>1000</v>
      </c>
      <c r="M7" s="79"/>
      <c r="N7" s="59">
        <f>IF(AND(I7="Oui",J7="Oui"),(L7+M7)*(1-Paramètres!$D$20),L7+M7)</f>
        <v>1000</v>
      </c>
      <c r="O7" s="42" t="s">
        <v>60</v>
      </c>
      <c r="P7" s="43">
        <v>46119</v>
      </c>
      <c r="Q7" s="42" t="s">
        <v>65</v>
      </c>
      <c r="R7" s="44"/>
      <c r="S7" s="45" t="str">
        <f t="shared" ca="1" si="1"/>
        <v/>
      </c>
      <c r="T7" s="50" t="str">
        <f t="shared" ca="1" si="2"/>
        <v>⏳ Pas de date</v>
      </c>
    </row>
    <row r="8" spans="1:20" ht="15" customHeight="1">
      <c r="A8" s="51">
        <v>6</v>
      </c>
      <c r="B8" s="46" t="s">
        <v>66</v>
      </c>
      <c r="C8" s="46" t="s">
        <v>57</v>
      </c>
      <c r="D8" s="47">
        <v>42802</v>
      </c>
      <c r="E8" s="46">
        <f t="shared" ca="1" si="0"/>
        <v>9</v>
      </c>
      <c r="F8" s="46" t="s">
        <v>43</v>
      </c>
      <c r="G8" s="46" t="s">
        <v>67</v>
      </c>
      <c r="H8" s="46" t="s">
        <v>59</v>
      </c>
      <c r="I8" s="46" t="s">
        <v>46</v>
      </c>
      <c r="J8" s="46" t="s">
        <v>47</v>
      </c>
      <c r="K8" s="81" t="str">
        <f t="shared" ca="1" si="3"/>
        <v>U11</v>
      </c>
      <c r="L8" s="48">
        <v>1000</v>
      </c>
      <c r="M8" s="79"/>
      <c r="N8" s="59"/>
      <c r="O8" s="46" t="s">
        <v>60</v>
      </c>
      <c r="P8" s="47">
        <v>46127</v>
      </c>
      <c r="Q8" s="46"/>
      <c r="R8" s="47"/>
      <c r="S8" s="46" t="str">
        <f t="shared" ca="1" si="1"/>
        <v/>
      </c>
      <c r="T8" s="52" t="str">
        <f t="shared" ca="1" si="2"/>
        <v>⏳ Pas de date</v>
      </c>
    </row>
    <row r="9" spans="1:20" ht="15" customHeight="1">
      <c r="A9" s="49">
        <v>7</v>
      </c>
      <c r="B9" s="46" t="s">
        <v>66</v>
      </c>
      <c r="C9" s="42" t="s">
        <v>68</v>
      </c>
      <c r="D9" s="43">
        <v>43340</v>
      </c>
      <c r="E9" s="42">
        <f t="shared" ca="1" si="0"/>
        <v>7</v>
      </c>
      <c r="F9" s="42" t="s">
        <v>43</v>
      </c>
      <c r="G9" s="46" t="s">
        <v>67</v>
      </c>
      <c r="H9" s="46" t="s">
        <v>59</v>
      </c>
      <c r="I9" s="42" t="s">
        <v>46</v>
      </c>
      <c r="J9" s="42" t="s">
        <v>47</v>
      </c>
      <c r="K9" s="81" t="str">
        <f t="shared" ca="1" si="3"/>
        <v>U9</v>
      </c>
      <c r="L9" s="48">
        <v>1000</v>
      </c>
      <c r="M9" s="79"/>
      <c r="N9" s="59"/>
      <c r="O9" s="42" t="s">
        <v>60</v>
      </c>
      <c r="P9" s="43">
        <v>46127</v>
      </c>
      <c r="Q9" s="42"/>
      <c r="R9" s="44"/>
      <c r="S9" s="45" t="str">
        <f t="shared" ca="1" si="1"/>
        <v/>
      </c>
      <c r="T9" s="50" t="str">
        <f t="shared" ca="1" si="2"/>
        <v>⏳ Pas de date</v>
      </c>
    </row>
    <row r="10" spans="1:20" ht="15" customHeight="1">
      <c r="A10" s="51">
        <v>8</v>
      </c>
      <c r="B10" s="46" t="s">
        <v>56</v>
      </c>
      <c r="C10" s="46" t="s">
        <v>69</v>
      </c>
      <c r="D10" s="47">
        <v>43426</v>
      </c>
      <c r="E10" s="46">
        <f t="shared" ca="1" si="0"/>
        <v>7</v>
      </c>
      <c r="F10" s="46" t="s">
        <v>70</v>
      </c>
      <c r="G10" s="46" t="s">
        <v>58</v>
      </c>
      <c r="H10" s="46" t="s">
        <v>59</v>
      </c>
      <c r="I10" s="46" t="s">
        <v>46</v>
      </c>
      <c r="J10" s="46" t="s">
        <v>47</v>
      </c>
      <c r="K10" s="81" t="str">
        <f ca="1">IF(I10&lt;&gt;"Oui","",IF(E10="","",IF(E10&lt;5,"U5",IF(E10&lt;7,"U7",IF(E10&lt;9,"U9",IF(E10&lt;10,"U11",IF(F10="F",IF(E10&lt;12,"U12F","U15F"),IF(E10&lt;11,"U11",IF(E10&lt;13,"U13","U15")))))))))</f>
        <v>U9</v>
      </c>
      <c r="L10" s="48">
        <v>1000</v>
      </c>
      <c r="M10" s="79"/>
      <c r="N10" s="59">
        <f>IF(AND(I10="Oui",J10="Oui"),(L10+M10)*(1-Paramètres!$D$20),L10+M10)</f>
        <v>1000</v>
      </c>
      <c r="O10" s="46" t="s">
        <v>60</v>
      </c>
      <c r="P10" s="47">
        <v>46119</v>
      </c>
      <c r="Q10" s="46" t="s">
        <v>71</v>
      </c>
      <c r="R10" s="47"/>
      <c r="S10" s="46" t="str">
        <f t="shared" ca="1" si="1"/>
        <v/>
      </c>
      <c r="T10" s="52" t="str">
        <f t="shared" ca="1" si="2"/>
        <v>⏳ Pas de date</v>
      </c>
    </row>
    <row r="11" spans="1:20" ht="15" customHeight="1">
      <c r="A11" s="49">
        <v>9</v>
      </c>
      <c r="B11" s="42" t="s">
        <v>72</v>
      </c>
      <c r="C11" s="42" t="s">
        <v>73</v>
      </c>
      <c r="D11" s="43">
        <v>40762</v>
      </c>
      <c r="E11" s="42">
        <f t="shared" ca="1" si="0"/>
        <v>14</v>
      </c>
      <c r="F11" s="42" t="s">
        <v>43</v>
      </c>
      <c r="G11" s="46" t="s">
        <v>74</v>
      </c>
      <c r="H11" s="42" t="s">
        <v>75</v>
      </c>
      <c r="I11" s="42" t="s">
        <v>46</v>
      </c>
      <c r="J11" s="42" t="s">
        <v>47</v>
      </c>
      <c r="K11" s="81" t="str">
        <f t="shared" ca="1" si="3"/>
        <v>U15</v>
      </c>
      <c r="L11" s="48">
        <v>1000</v>
      </c>
      <c r="M11" s="79"/>
      <c r="N11" s="59">
        <f>IF(AND(I11="Oui",J11="Oui"),(L11+M11)*(1-Paramètres!$D$20),L11+M11)</f>
        <v>1000</v>
      </c>
      <c r="O11" s="42" t="s">
        <v>60</v>
      </c>
      <c r="P11" s="43">
        <v>46122</v>
      </c>
      <c r="Q11" s="42" t="s">
        <v>76</v>
      </c>
      <c r="R11" s="44"/>
      <c r="S11" s="45" t="str">
        <f t="shared" ca="1" si="1"/>
        <v/>
      </c>
      <c r="T11" s="50" t="str">
        <f t="shared" ca="1" si="2"/>
        <v>⏳ Pas de date</v>
      </c>
    </row>
    <row r="12" spans="1:20" ht="15" customHeight="1">
      <c r="A12" s="51">
        <v>10</v>
      </c>
      <c r="B12" s="46" t="s">
        <v>77</v>
      </c>
      <c r="C12" s="46" t="s">
        <v>78</v>
      </c>
      <c r="D12" s="47">
        <v>41038</v>
      </c>
      <c r="E12" s="46">
        <f t="shared" ca="1" si="0"/>
        <v>13</v>
      </c>
      <c r="F12" s="46" t="s">
        <v>43</v>
      </c>
      <c r="G12" s="46" t="s">
        <v>79</v>
      </c>
      <c r="H12" s="46" t="s">
        <v>80</v>
      </c>
      <c r="I12" s="46" t="s">
        <v>46</v>
      </c>
      <c r="J12" s="46" t="s">
        <v>47</v>
      </c>
      <c r="K12" s="81" t="str">
        <f t="shared" ca="1" si="3"/>
        <v>U15</v>
      </c>
      <c r="L12" s="48">
        <v>1000</v>
      </c>
      <c r="M12" s="79"/>
      <c r="N12" s="59">
        <f>IF(AND(I12="Oui",J12="Oui"),(L12+M12)*(1-Paramètres!$D$20),L12+M12)</f>
        <v>1000</v>
      </c>
      <c r="O12" s="46" t="s">
        <v>60</v>
      </c>
      <c r="P12" s="47">
        <v>46120</v>
      </c>
      <c r="Q12" s="46" t="s">
        <v>81</v>
      </c>
      <c r="R12" s="47"/>
      <c r="S12" s="46" t="str">
        <f t="shared" ca="1" si="1"/>
        <v/>
      </c>
      <c r="T12" s="52" t="str">
        <f t="shared" ca="1" si="2"/>
        <v>⏳ Pas de date</v>
      </c>
    </row>
    <row r="13" spans="1:20" ht="15" customHeight="1">
      <c r="A13" s="49">
        <v>11</v>
      </c>
      <c r="B13" s="42" t="s">
        <v>82</v>
      </c>
      <c r="C13" s="42" t="s">
        <v>83</v>
      </c>
      <c r="D13" s="43">
        <v>40774</v>
      </c>
      <c r="E13" s="42">
        <f t="shared" ca="1" si="0"/>
        <v>14</v>
      </c>
      <c r="F13" s="42" t="s">
        <v>43</v>
      </c>
      <c r="G13" s="46" t="s">
        <v>84</v>
      </c>
      <c r="H13" s="42" t="s">
        <v>85</v>
      </c>
      <c r="I13" s="42" t="s">
        <v>46</v>
      </c>
      <c r="J13" s="42" t="s">
        <v>47</v>
      </c>
      <c r="K13" s="81" t="str">
        <f t="shared" ca="1" si="3"/>
        <v>U15</v>
      </c>
      <c r="L13" s="48">
        <v>2000</v>
      </c>
      <c r="M13" s="79"/>
      <c r="N13" s="59">
        <f>IF(AND(I13="Oui",J13="Oui"),(L13+M13)*(1-Paramètres!$D$20),L13+M13)</f>
        <v>2000</v>
      </c>
      <c r="O13" s="42" t="s">
        <v>48</v>
      </c>
      <c r="P13" s="43">
        <v>46122</v>
      </c>
      <c r="Q13" s="42" t="s">
        <v>86</v>
      </c>
      <c r="R13" s="44"/>
      <c r="S13" s="45" t="str">
        <f t="shared" ca="1" si="1"/>
        <v/>
      </c>
      <c r="T13" s="50" t="str">
        <f t="shared" ca="1" si="2"/>
        <v>✅ À jour</v>
      </c>
    </row>
    <row r="14" spans="1:20" ht="15" customHeight="1">
      <c r="A14" s="51">
        <v>12</v>
      </c>
      <c r="B14" s="46" t="s">
        <v>87</v>
      </c>
      <c r="C14" s="46" t="s">
        <v>88</v>
      </c>
      <c r="D14" s="47">
        <v>42340</v>
      </c>
      <c r="E14" s="46">
        <f t="shared" ca="1" si="0"/>
        <v>10</v>
      </c>
      <c r="F14" s="46" t="s">
        <v>43</v>
      </c>
      <c r="G14" s="46" t="s">
        <v>89</v>
      </c>
      <c r="H14" s="46" t="s">
        <v>59</v>
      </c>
      <c r="I14" s="46" t="s">
        <v>46</v>
      </c>
      <c r="J14" s="46" t="s">
        <v>47</v>
      </c>
      <c r="K14" s="81" t="s">
        <v>10</v>
      </c>
      <c r="L14" s="48"/>
      <c r="M14" s="79"/>
      <c r="N14" s="59"/>
      <c r="O14" s="46" t="s">
        <v>90</v>
      </c>
      <c r="P14" s="47"/>
      <c r="Q14" s="46" t="s">
        <v>91</v>
      </c>
      <c r="R14" s="47"/>
      <c r="S14" s="76" t="s">
        <v>92</v>
      </c>
      <c r="T14" s="52" t="str">
        <f t="shared" ca="1" si="2"/>
        <v>⏳ Pas de date</v>
      </c>
    </row>
    <row r="15" spans="1:20" ht="15" customHeight="1">
      <c r="A15" s="49">
        <v>13</v>
      </c>
      <c r="B15" s="42"/>
      <c r="C15" s="42"/>
      <c r="D15" s="43"/>
      <c r="E15" s="42" t="str">
        <f t="shared" ca="1" si="0"/>
        <v/>
      </c>
      <c r="F15" s="42"/>
      <c r="G15" s="42"/>
      <c r="H15" s="42"/>
      <c r="I15" s="42"/>
      <c r="J15" s="42"/>
      <c r="K15" s="81" t="str">
        <f t="shared" si="3"/>
        <v/>
      </c>
      <c r="L15" s="48"/>
      <c r="M15" s="79"/>
      <c r="N15" s="59"/>
      <c r="O15" s="42"/>
      <c r="P15" s="43"/>
      <c r="Q15" s="42"/>
      <c r="R15" s="44"/>
      <c r="S15" s="45"/>
      <c r="T15" s="50" t="str">
        <f t="shared" ca="1" si="2"/>
        <v/>
      </c>
    </row>
    <row r="16" spans="1:20" ht="15" customHeight="1">
      <c r="A16" s="51">
        <v>14</v>
      </c>
      <c r="B16" s="46"/>
      <c r="C16" s="46"/>
      <c r="D16" s="47"/>
      <c r="E16" s="46" t="str">
        <f t="shared" ca="1" si="0"/>
        <v/>
      </c>
      <c r="F16" s="46"/>
      <c r="G16" s="46"/>
      <c r="H16" s="46"/>
      <c r="I16" s="46"/>
      <c r="J16" s="46"/>
      <c r="K16" s="81" t="str">
        <f t="shared" si="3"/>
        <v/>
      </c>
      <c r="L16" s="48"/>
      <c r="M16" s="79"/>
      <c r="N16" s="59"/>
      <c r="O16" s="46"/>
      <c r="P16" s="47"/>
      <c r="Q16" s="46"/>
      <c r="R16" s="47"/>
      <c r="S16" s="46" t="str">
        <f t="shared" ca="1" si="1"/>
        <v/>
      </c>
      <c r="T16" s="52" t="str">
        <f t="shared" ca="1" si="2"/>
        <v/>
      </c>
    </row>
    <row r="17" spans="1:22" ht="15" customHeight="1">
      <c r="A17" s="49">
        <v>15</v>
      </c>
      <c r="B17" s="42" t="s">
        <v>93</v>
      </c>
      <c r="C17" s="42" t="s">
        <v>94</v>
      </c>
      <c r="D17" s="43">
        <v>42736</v>
      </c>
      <c r="E17" s="42">
        <f t="shared" ca="1" si="0"/>
        <v>9</v>
      </c>
      <c r="F17" s="42" t="s">
        <v>43</v>
      </c>
      <c r="G17" s="71" t="s">
        <v>95</v>
      </c>
      <c r="H17" s="42" t="s">
        <v>59</v>
      </c>
      <c r="I17" s="42" t="s">
        <v>46</v>
      </c>
      <c r="J17" s="42" t="s">
        <v>47</v>
      </c>
      <c r="K17" s="81" t="str">
        <f t="shared" ca="1" si="3"/>
        <v>U11</v>
      </c>
      <c r="L17" s="48">
        <v>2000</v>
      </c>
      <c r="M17" s="79"/>
      <c r="N17" s="59">
        <f>IF(AND(I17="Oui",J17="Oui"),(L17+M17)*(1-Paramètres!$D$20),L17+M17)</f>
        <v>2000</v>
      </c>
      <c r="O17" s="42" t="s">
        <v>48</v>
      </c>
      <c r="P17" s="43">
        <v>46120</v>
      </c>
      <c r="Q17" s="42" t="s">
        <v>96</v>
      </c>
      <c r="R17" s="44"/>
      <c r="S17" s="45" t="str">
        <f t="shared" ca="1" si="1"/>
        <v/>
      </c>
      <c r="T17" s="50" t="str">
        <f t="shared" ca="1" si="2"/>
        <v>✅ À jour</v>
      </c>
    </row>
    <row r="18" spans="1:22" ht="15" customHeight="1">
      <c r="A18" s="51">
        <v>16</v>
      </c>
      <c r="B18" s="46" t="s">
        <v>97</v>
      </c>
      <c r="C18" s="46" t="s">
        <v>98</v>
      </c>
      <c r="D18" s="47">
        <v>44064</v>
      </c>
      <c r="E18" s="46">
        <f t="shared" ca="1" si="0"/>
        <v>5</v>
      </c>
      <c r="F18" s="46" t="s">
        <v>43</v>
      </c>
      <c r="G18" s="46" t="s">
        <v>99</v>
      </c>
      <c r="H18" s="46" t="s">
        <v>100</v>
      </c>
      <c r="I18" s="46" t="s">
        <v>46</v>
      </c>
      <c r="J18" s="46" t="s">
        <v>47</v>
      </c>
      <c r="K18" s="81" t="str">
        <f t="shared" ca="1" si="3"/>
        <v>U7</v>
      </c>
      <c r="L18" s="48">
        <v>3000</v>
      </c>
      <c r="M18" s="79"/>
      <c r="N18" s="59">
        <f>IF(AND(I18="Oui",J18="Oui"),(L18+M18)*(1-Paramètres!$D$20),L18+M18)</f>
        <v>3000</v>
      </c>
      <c r="O18" s="46" t="s">
        <v>48</v>
      </c>
      <c r="P18" s="47">
        <v>46120</v>
      </c>
      <c r="Q18" s="46" t="s">
        <v>101</v>
      </c>
      <c r="R18" s="47"/>
      <c r="S18" s="46" t="str">
        <f t="shared" ca="1" si="1"/>
        <v/>
      </c>
      <c r="T18" s="52" t="str">
        <f t="shared" ca="1" si="2"/>
        <v>✅ À jour</v>
      </c>
      <c r="V18" t="s">
        <v>102</v>
      </c>
    </row>
    <row r="19" spans="1:22" ht="15" customHeight="1">
      <c r="A19" s="49">
        <v>17</v>
      </c>
      <c r="B19" s="46" t="s">
        <v>51</v>
      </c>
      <c r="C19" s="42" t="s">
        <v>103</v>
      </c>
      <c r="D19" s="43">
        <v>41134</v>
      </c>
      <c r="E19" s="42">
        <f t="shared" ca="1" si="0"/>
        <v>13</v>
      </c>
      <c r="F19" s="42" t="s">
        <v>43</v>
      </c>
      <c r="G19" s="42" t="s">
        <v>53</v>
      </c>
      <c r="H19" s="42" t="s">
        <v>54</v>
      </c>
      <c r="I19" s="42" t="s">
        <v>46</v>
      </c>
      <c r="J19" s="42" t="s">
        <v>47</v>
      </c>
      <c r="K19" s="81" t="str">
        <f t="shared" ca="1" si="3"/>
        <v>U15</v>
      </c>
      <c r="L19" s="48">
        <v>2000</v>
      </c>
      <c r="M19" s="79"/>
      <c r="N19" s="59">
        <f>IF(AND(I19="Oui",J19="Oui"),(L19+M19)*(1-Paramètres!$D$20),L19+M19)</f>
        <v>2000</v>
      </c>
      <c r="O19" s="42" t="s">
        <v>48</v>
      </c>
      <c r="P19" s="43">
        <v>46122</v>
      </c>
      <c r="Q19" s="42" t="s">
        <v>104</v>
      </c>
      <c r="R19" s="44"/>
      <c r="S19" s="45" t="str">
        <f t="shared" ca="1" si="1"/>
        <v/>
      </c>
      <c r="T19" s="50" t="str">
        <f t="shared" ca="1" si="2"/>
        <v>✅ À jour</v>
      </c>
    </row>
    <row r="20" spans="1:22" ht="15" customHeight="1">
      <c r="A20" s="51">
        <v>18</v>
      </c>
      <c r="B20" s="46" t="s">
        <v>105</v>
      </c>
      <c r="C20" s="46" t="s">
        <v>57</v>
      </c>
      <c r="D20" s="47">
        <v>42598</v>
      </c>
      <c r="E20" s="46">
        <f t="shared" ca="1" si="0"/>
        <v>9</v>
      </c>
      <c r="F20" s="46" t="s">
        <v>43</v>
      </c>
      <c r="G20" s="46" t="s">
        <v>95</v>
      </c>
      <c r="H20" s="46" t="s">
        <v>59</v>
      </c>
      <c r="I20" s="46" t="s">
        <v>46</v>
      </c>
      <c r="J20" s="46"/>
      <c r="K20" s="81" t="str">
        <f t="shared" ca="1" si="3"/>
        <v>U11</v>
      </c>
      <c r="L20" s="48"/>
      <c r="M20" s="79"/>
      <c r="N20" s="59"/>
      <c r="O20" s="46"/>
      <c r="P20" s="47"/>
      <c r="Q20" s="46" t="s">
        <v>106</v>
      </c>
      <c r="R20" s="47"/>
      <c r="S20" s="46" t="str">
        <f t="shared" ca="1" si="1"/>
        <v/>
      </c>
      <c r="T20" s="52" t="str">
        <f t="shared" ca="1" si="2"/>
        <v>⏳ Pas de date</v>
      </c>
    </row>
    <row r="21" spans="1:22" ht="15" customHeight="1">
      <c r="A21" s="49">
        <v>19</v>
      </c>
      <c r="B21" s="42" t="s">
        <v>51</v>
      </c>
      <c r="C21" s="42" t="s">
        <v>107</v>
      </c>
      <c r="D21" s="43">
        <v>42896</v>
      </c>
      <c r="E21" s="42">
        <f t="shared" ca="1" si="0"/>
        <v>8</v>
      </c>
      <c r="F21" s="42" t="s">
        <v>43</v>
      </c>
      <c r="G21" s="42" t="s">
        <v>108</v>
      </c>
      <c r="H21" s="42" t="s">
        <v>59</v>
      </c>
      <c r="I21" s="42" t="s">
        <v>46</v>
      </c>
      <c r="J21" s="42"/>
      <c r="K21" s="81" t="str">
        <f t="shared" ca="1" si="3"/>
        <v>U9</v>
      </c>
      <c r="L21" s="48"/>
      <c r="M21" s="79"/>
      <c r="N21" s="59"/>
      <c r="O21" s="42" t="s">
        <v>60</v>
      </c>
      <c r="P21" s="43"/>
      <c r="Q21" s="42" t="s">
        <v>109</v>
      </c>
      <c r="R21" s="44"/>
      <c r="S21" s="45" t="str">
        <f t="shared" ca="1" si="1"/>
        <v/>
      </c>
      <c r="T21" s="50" t="str">
        <f t="shared" ca="1" si="2"/>
        <v>⏳ Pas de date</v>
      </c>
    </row>
    <row r="22" spans="1:22" ht="15" customHeight="1">
      <c r="A22" s="51">
        <v>20</v>
      </c>
      <c r="B22" s="46"/>
      <c r="C22" s="46"/>
      <c r="D22" s="72"/>
      <c r="E22" s="46" t="str">
        <f t="shared" ca="1" si="0"/>
        <v/>
      </c>
      <c r="F22" s="46"/>
      <c r="G22" s="46"/>
      <c r="H22" s="46"/>
      <c r="I22" s="46"/>
      <c r="J22" s="46"/>
      <c r="K22" s="81" t="str">
        <f t="shared" si="3"/>
        <v/>
      </c>
      <c r="L22" s="48"/>
      <c r="M22" s="79"/>
      <c r="N22" s="59"/>
      <c r="O22" s="46"/>
      <c r="P22" s="47"/>
      <c r="Q22" s="46"/>
      <c r="R22" s="47"/>
      <c r="S22" s="46" t="str">
        <f t="shared" ca="1" si="1"/>
        <v/>
      </c>
      <c r="T22" s="52" t="str">
        <f t="shared" ca="1" si="2"/>
        <v/>
      </c>
    </row>
    <row r="23" spans="1:22" ht="15" customHeight="1">
      <c r="A23" s="49">
        <v>21</v>
      </c>
      <c r="B23" s="42"/>
      <c r="C23" s="42"/>
      <c r="D23" s="43"/>
      <c r="E23" s="42" t="str">
        <f t="shared" ca="1" si="0"/>
        <v/>
      </c>
      <c r="F23" s="42"/>
      <c r="G23" s="42"/>
      <c r="H23" s="42"/>
      <c r="I23" s="42"/>
      <c r="J23" s="42"/>
      <c r="K23" s="81" t="str">
        <f t="shared" si="3"/>
        <v/>
      </c>
      <c r="L23" s="48"/>
      <c r="M23" s="79"/>
      <c r="N23" s="59">
        <f>IF(AND(I23="Oui",J23="Oui"),(L23+M23)*(1-Paramètres!$D$20),L23+M23)</f>
        <v>0</v>
      </c>
      <c r="O23" s="42"/>
      <c r="P23" s="43"/>
      <c r="Q23" s="42"/>
      <c r="R23" s="44"/>
      <c r="S23" s="45" t="str">
        <f t="shared" ca="1" si="1"/>
        <v/>
      </c>
      <c r="T23" s="50" t="str">
        <f t="shared" ca="1" si="2"/>
        <v/>
      </c>
    </row>
    <row r="24" spans="1:22" ht="15" customHeight="1">
      <c r="A24" s="51">
        <v>22</v>
      </c>
      <c r="B24" s="46" t="s">
        <v>110</v>
      </c>
      <c r="C24" s="46" t="s">
        <v>111</v>
      </c>
      <c r="D24" s="47">
        <v>41569</v>
      </c>
      <c r="E24" s="46">
        <f t="shared" ca="1" si="0"/>
        <v>12</v>
      </c>
      <c r="F24" s="46" t="s">
        <v>43</v>
      </c>
      <c r="G24" s="46" t="s">
        <v>112</v>
      </c>
      <c r="H24" s="46" t="s">
        <v>113</v>
      </c>
      <c r="I24" s="46" t="s">
        <v>46</v>
      </c>
      <c r="J24" s="46"/>
      <c r="K24" s="81" t="str">
        <f t="shared" ca="1" si="3"/>
        <v>U13</v>
      </c>
      <c r="L24" s="48">
        <v>2000</v>
      </c>
      <c r="M24" s="79"/>
      <c r="N24" s="59">
        <f>IF(AND(I24="Oui",J24="Oui"),(L24+M24)*(1-Paramètres!$D$20),L24+M24)</f>
        <v>2000</v>
      </c>
      <c r="O24" s="46" t="s">
        <v>48</v>
      </c>
      <c r="P24" s="47">
        <v>46117</v>
      </c>
      <c r="Q24" s="46" t="s">
        <v>114</v>
      </c>
      <c r="R24" s="47"/>
      <c r="S24" s="46" t="str">
        <f t="shared" ca="1" si="1"/>
        <v/>
      </c>
      <c r="T24" s="52" t="str">
        <f t="shared" ca="1" si="2"/>
        <v>✅ À jour</v>
      </c>
    </row>
    <row r="25" spans="1:22" ht="15" customHeight="1">
      <c r="A25" s="49">
        <v>23</v>
      </c>
      <c r="B25" s="42" t="s">
        <v>115</v>
      </c>
      <c r="C25" s="42" t="s">
        <v>116</v>
      </c>
      <c r="D25" s="43">
        <v>43252</v>
      </c>
      <c r="E25" s="42">
        <f t="shared" ca="1" si="0"/>
        <v>7</v>
      </c>
      <c r="F25" s="42" t="s">
        <v>43</v>
      </c>
      <c r="G25" s="42" t="s">
        <v>117</v>
      </c>
      <c r="H25" s="42" t="s">
        <v>85</v>
      </c>
      <c r="I25" s="42" t="s">
        <v>46</v>
      </c>
      <c r="J25" s="42"/>
      <c r="K25" s="81" t="str">
        <f t="shared" ca="1" si="3"/>
        <v>U9</v>
      </c>
      <c r="L25" s="48">
        <v>2000</v>
      </c>
      <c r="M25" s="79"/>
      <c r="N25" s="59">
        <f>IF(AND(I25="Oui",J25="Oui"),(L25+M25)*(1-Paramètres!$D$20),L25+M25)</f>
        <v>2000</v>
      </c>
      <c r="O25" s="42" t="s">
        <v>48</v>
      </c>
      <c r="P25" s="43">
        <v>46117</v>
      </c>
      <c r="Q25" s="42" t="s">
        <v>118</v>
      </c>
      <c r="R25" s="44"/>
      <c r="S25" s="45" t="str">
        <f t="shared" ca="1" si="1"/>
        <v/>
      </c>
      <c r="T25" s="50" t="str">
        <f t="shared" ca="1" si="2"/>
        <v>✅ À jour</v>
      </c>
    </row>
    <row r="26" spans="1:22" ht="15" customHeight="1">
      <c r="A26" s="51">
        <v>24</v>
      </c>
      <c r="B26" s="46" t="s">
        <v>119</v>
      </c>
      <c r="C26" s="46" t="s">
        <v>57</v>
      </c>
      <c r="D26" s="47">
        <v>44503</v>
      </c>
      <c r="E26" s="46">
        <f t="shared" ca="1" si="0"/>
        <v>4</v>
      </c>
      <c r="F26" s="46" t="s">
        <v>43</v>
      </c>
      <c r="G26" s="46" t="s">
        <v>120</v>
      </c>
      <c r="H26" s="46" t="s">
        <v>59</v>
      </c>
      <c r="I26" s="46" t="s">
        <v>46</v>
      </c>
      <c r="J26" s="46"/>
      <c r="K26" s="81" t="str">
        <f t="shared" ca="1" si="3"/>
        <v>U5</v>
      </c>
      <c r="L26" s="48">
        <v>2000</v>
      </c>
      <c r="M26" s="79"/>
      <c r="N26" s="59">
        <f>IF(AND(I26="Oui",J26="Oui"),(L26+M26)*(1-Paramètres!$D$20),L26+M26)</f>
        <v>2000</v>
      </c>
      <c r="O26" s="46" t="s">
        <v>48</v>
      </c>
      <c r="P26" s="47">
        <v>46117</v>
      </c>
      <c r="Q26" s="46" t="s">
        <v>121</v>
      </c>
      <c r="R26" s="47"/>
      <c r="S26" s="46" t="str">
        <f t="shared" ca="1" si="1"/>
        <v/>
      </c>
      <c r="T26" s="52" t="str">
        <f t="shared" ca="1" si="2"/>
        <v>✅ À jour</v>
      </c>
    </row>
    <row r="27" spans="1:22" ht="15" customHeight="1">
      <c r="A27" s="49">
        <v>25</v>
      </c>
      <c r="B27" s="42" t="s">
        <v>77</v>
      </c>
      <c r="C27" s="42" t="s">
        <v>78</v>
      </c>
      <c r="D27" s="43">
        <v>42852</v>
      </c>
      <c r="E27" s="42">
        <f t="shared" ca="1" si="0"/>
        <v>9</v>
      </c>
      <c r="F27" s="42" t="s">
        <v>43</v>
      </c>
      <c r="G27" s="42" t="s">
        <v>120</v>
      </c>
      <c r="H27" s="42" t="s">
        <v>59</v>
      </c>
      <c r="I27" s="42" t="s">
        <v>46</v>
      </c>
      <c r="J27" s="42"/>
      <c r="K27" s="81" t="str">
        <f t="shared" ca="1" si="3"/>
        <v>U11</v>
      </c>
      <c r="L27" s="48">
        <v>2000</v>
      </c>
      <c r="M27" s="79"/>
      <c r="N27" s="59">
        <f>IF(AND(I27="Oui",J27="Oui"),(L27+M27)*(1-Paramètres!$D$20),L27+M27)</f>
        <v>2000</v>
      </c>
      <c r="O27" s="42" t="s">
        <v>48</v>
      </c>
      <c r="P27" s="43">
        <v>46117</v>
      </c>
      <c r="Q27" s="42" t="s">
        <v>122</v>
      </c>
      <c r="R27" s="44"/>
      <c r="S27" s="45" t="str">
        <f t="shared" ca="1" si="1"/>
        <v/>
      </c>
      <c r="T27" s="50" t="str">
        <f t="shared" ca="1" si="2"/>
        <v>✅ À jour</v>
      </c>
    </row>
    <row r="28" spans="1:22" ht="15" customHeight="1">
      <c r="A28" s="51">
        <v>26</v>
      </c>
      <c r="B28" s="46" t="s">
        <v>123</v>
      </c>
      <c r="C28" s="46" t="s">
        <v>124</v>
      </c>
      <c r="D28" s="47">
        <v>43957</v>
      </c>
      <c r="E28" s="46">
        <f t="shared" ca="1" si="0"/>
        <v>5</v>
      </c>
      <c r="F28" s="46" t="s">
        <v>43</v>
      </c>
      <c r="G28" s="46" t="s">
        <v>125</v>
      </c>
      <c r="H28" s="46" t="s">
        <v>59</v>
      </c>
      <c r="I28" s="46" t="s">
        <v>46</v>
      </c>
      <c r="J28" s="46"/>
      <c r="K28" s="81" t="str">
        <f t="shared" ca="1" si="3"/>
        <v>U7</v>
      </c>
      <c r="L28" s="48">
        <v>2000</v>
      </c>
      <c r="M28" s="79"/>
      <c r="N28" s="59">
        <f>IF(AND(I28="Oui",J28="Oui"),(L28+M28)*(1-Paramètres!$D$20),L28+M28)</f>
        <v>2000</v>
      </c>
      <c r="O28" s="46" t="s">
        <v>48</v>
      </c>
      <c r="P28" s="47">
        <v>46117</v>
      </c>
      <c r="Q28" s="46" t="s">
        <v>126</v>
      </c>
      <c r="R28" s="47"/>
      <c r="S28" s="46" t="str">
        <f t="shared" ca="1" si="1"/>
        <v/>
      </c>
      <c r="T28" s="52" t="str">
        <f t="shared" ca="1" si="2"/>
        <v>✅ À jour</v>
      </c>
    </row>
    <row r="29" spans="1:22" ht="15" customHeight="1">
      <c r="A29" s="49">
        <v>27</v>
      </c>
      <c r="B29" s="42" t="s">
        <v>127</v>
      </c>
      <c r="C29" s="42" t="s">
        <v>128</v>
      </c>
      <c r="D29" s="43">
        <v>43115</v>
      </c>
      <c r="E29" s="42">
        <f t="shared" ca="1" si="0"/>
        <v>8</v>
      </c>
      <c r="F29" s="42" t="s">
        <v>43</v>
      </c>
      <c r="G29" s="71" t="s">
        <v>129</v>
      </c>
      <c r="H29" s="42" t="s">
        <v>45</v>
      </c>
      <c r="I29" s="42" t="s">
        <v>46</v>
      </c>
      <c r="J29" s="42"/>
      <c r="K29" s="81" t="str">
        <f t="shared" ca="1" si="3"/>
        <v>U9</v>
      </c>
      <c r="L29" s="48">
        <v>1000</v>
      </c>
      <c r="M29" s="79"/>
      <c r="N29" s="59">
        <f>IF(AND(I29="Oui",J29="Oui"),(L29+M29)*(1-Paramètres!$D$20),L29+M29)</f>
        <v>1000</v>
      </c>
      <c r="O29" s="42" t="s">
        <v>60</v>
      </c>
      <c r="P29" s="43">
        <v>46117</v>
      </c>
      <c r="Q29" s="42" t="s">
        <v>130</v>
      </c>
      <c r="R29" s="44"/>
      <c r="S29" s="45" t="str">
        <f t="shared" ca="1" si="1"/>
        <v/>
      </c>
      <c r="T29" s="50" t="str">
        <f t="shared" ca="1" si="2"/>
        <v>⏳ Pas de date</v>
      </c>
    </row>
    <row r="30" spans="1:22" ht="15" customHeight="1">
      <c r="A30" s="51">
        <v>28</v>
      </c>
      <c r="B30" s="46" t="s">
        <v>131</v>
      </c>
      <c r="C30" s="46" t="s">
        <v>57</v>
      </c>
      <c r="D30" s="47">
        <v>43612</v>
      </c>
      <c r="E30" s="46">
        <f t="shared" ca="1" si="0"/>
        <v>6</v>
      </c>
      <c r="F30" s="46" t="s">
        <v>43</v>
      </c>
      <c r="G30" s="73">
        <v>212658200457</v>
      </c>
      <c r="H30" s="46" t="s">
        <v>59</v>
      </c>
      <c r="I30" s="46" t="s">
        <v>46</v>
      </c>
      <c r="J30" s="46"/>
      <c r="K30" s="81" t="str">
        <f t="shared" ca="1" si="3"/>
        <v>U7</v>
      </c>
      <c r="L30" s="48">
        <v>1000</v>
      </c>
      <c r="M30" s="79"/>
      <c r="N30" s="59">
        <f>IF(AND(I30="Oui",J30="Oui"),(L30+M30)*(1-Paramètres!$D$20),L30+M30)</f>
        <v>1000</v>
      </c>
      <c r="O30" s="46" t="s">
        <v>48</v>
      </c>
      <c r="P30" s="47">
        <v>46117</v>
      </c>
      <c r="Q30" s="46" t="s">
        <v>132</v>
      </c>
      <c r="R30" s="47"/>
      <c r="S30" s="46" t="str">
        <f t="shared" ca="1" si="1"/>
        <v/>
      </c>
      <c r="T30" s="52" t="str">
        <f ca="1">IF(B30="","",IF(O30="Payé","✅ À jour",IF(R30="","⏳ Pas de date",IF(TODAY()&gt;R30,"🔴 En retard",IF(R30-TODAY()&lt;=7,"🟡 Bientôt dû","🟢 Dans les temps")))))</f>
        <v>✅ À jour</v>
      </c>
    </row>
    <row r="31" spans="1:22" ht="15" customHeight="1">
      <c r="A31" s="49">
        <v>29</v>
      </c>
      <c r="B31" s="42" t="s">
        <v>133</v>
      </c>
      <c r="C31" s="42" t="s">
        <v>134</v>
      </c>
      <c r="D31" s="43">
        <v>43110</v>
      </c>
      <c r="E31" s="42">
        <f t="shared" ca="1" si="0"/>
        <v>8</v>
      </c>
      <c r="F31" s="42" t="s">
        <v>43</v>
      </c>
      <c r="G31" s="46" t="s">
        <v>135</v>
      </c>
      <c r="H31" s="42" t="s">
        <v>136</v>
      </c>
      <c r="I31" s="42" t="s">
        <v>46</v>
      </c>
      <c r="J31" s="42"/>
      <c r="K31" s="81" t="str">
        <f t="shared" ca="1" si="3"/>
        <v>U9</v>
      </c>
      <c r="L31" s="48">
        <v>2000</v>
      </c>
      <c r="M31" s="79"/>
      <c r="N31" s="59">
        <f>IF(AND(I31="Oui",J31="Oui"),(L31+M31)*(1-Paramètres!$D$20),L31+M31)</f>
        <v>2000</v>
      </c>
      <c r="O31" s="42" t="s">
        <v>60</v>
      </c>
      <c r="P31" s="43">
        <v>46117</v>
      </c>
      <c r="Q31" s="74" t="s">
        <v>137</v>
      </c>
      <c r="R31" s="44"/>
      <c r="S31" s="45" t="str">
        <f t="shared" ca="1" si="1"/>
        <v/>
      </c>
      <c r="T31" s="50" t="str">
        <f t="shared" ca="1" si="2"/>
        <v>⏳ Pas de date</v>
      </c>
    </row>
    <row r="32" spans="1:22" ht="15" customHeight="1">
      <c r="A32" s="51">
        <v>30</v>
      </c>
      <c r="B32" s="42" t="s">
        <v>133</v>
      </c>
      <c r="C32" s="46" t="s">
        <v>138</v>
      </c>
      <c r="D32" s="47">
        <v>42624</v>
      </c>
      <c r="E32" s="46">
        <f t="shared" ca="1" si="0"/>
        <v>9</v>
      </c>
      <c r="F32" s="46" t="s">
        <v>43</v>
      </c>
      <c r="G32" s="46" t="s">
        <v>135</v>
      </c>
      <c r="H32" s="46" t="s">
        <v>136</v>
      </c>
      <c r="I32" s="46" t="s">
        <v>46</v>
      </c>
      <c r="J32" s="46"/>
      <c r="K32" s="81" t="str">
        <f t="shared" ca="1" si="3"/>
        <v>U11</v>
      </c>
      <c r="L32" s="48">
        <v>1000</v>
      </c>
      <c r="M32" s="79"/>
      <c r="N32" s="59">
        <f>IF(AND(I32="Oui",J32="Oui"),(L32+M32)*(1-Paramètres!$D$20),L32+M32)</f>
        <v>1000</v>
      </c>
      <c r="O32" s="46" t="s">
        <v>60</v>
      </c>
      <c r="P32" s="47">
        <v>46117</v>
      </c>
      <c r="Q32" s="46"/>
      <c r="R32" s="47"/>
      <c r="S32" s="46" t="str">
        <f t="shared" ca="1" si="1"/>
        <v/>
      </c>
      <c r="T32" s="52" t="str">
        <f t="shared" ca="1" si="2"/>
        <v>⏳ Pas de date</v>
      </c>
    </row>
    <row r="33" spans="1:20" ht="15" customHeight="1">
      <c r="A33" s="49">
        <v>31</v>
      </c>
      <c r="B33" s="42" t="s">
        <v>56</v>
      </c>
      <c r="C33" s="42" t="s">
        <v>62</v>
      </c>
      <c r="D33" s="43">
        <v>43781</v>
      </c>
      <c r="E33" s="42">
        <f t="shared" ca="1" si="0"/>
        <v>6</v>
      </c>
      <c r="F33" s="42" t="s">
        <v>43</v>
      </c>
      <c r="G33" s="46" t="s">
        <v>63</v>
      </c>
      <c r="H33" s="42" t="s">
        <v>139</v>
      </c>
      <c r="I33" s="42" t="s">
        <v>46</v>
      </c>
      <c r="J33" s="42"/>
      <c r="K33" s="81" t="str">
        <f t="shared" ca="1" si="3"/>
        <v>U7</v>
      </c>
      <c r="L33" s="48">
        <v>2000</v>
      </c>
      <c r="M33" s="79"/>
      <c r="N33" s="59">
        <f>IF(AND(I33="Oui",J33="Oui"),(L33+M33)*(1-Paramètres!$D$20),L33+M33)</f>
        <v>2000</v>
      </c>
      <c r="O33" s="42" t="s">
        <v>48</v>
      </c>
      <c r="P33" s="43">
        <v>46117</v>
      </c>
      <c r="Q33" s="42" t="s">
        <v>140</v>
      </c>
      <c r="R33" s="44"/>
      <c r="S33" s="45" t="str">
        <f t="shared" ca="1" si="1"/>
        <v/>
      </c>
      <c r="T33" s="50" t="str">
        <f t="shared" ca="1" si="2"/>
        <v>✅ À jour</v>
      </c>
    </row>
    <row r="34" spans="1:20" ht="15" customHeight="1">
      <c r="A34" s="51">
        <v>32</v>
      </c>
      <c r="B34" s="46" t="s">
        <v>141</v>
      </c>
      <c r="C34" s="46" t="s">
        <v>57</v>
      </c>
      <c r="D34" s="47">
        <v>44130</v>
      </c>
      <c r="E34" s="46">
        <f t="shared" ca="1" si="0"/>
        <v>5</v>
      </c>
      <c r="F34" s="46" t="s">
        <v>43</v>
      </c>
      <c r="G34" s="46" t="s">
        <v>142</v>
      </c>
      <c r="H34" s="46" t="s">
        <v>143</v>
      </c>
      <c r="I34" s="46" t="s">
        <v>46</v>
      </c>
      <c r="J34" s="46"/>
      <c r="K34" s="81" t="str">
        <f t="shared" ca="1" si="3"/>
        <v>U7</v>
      </c>
      <c r="L34" s="48">
        <v>1000</v>
      </c>
      <c r="M34" s="79"/>
      <c r="N34" s="59">
        <f>IF(AND(I34="Oui",J34="Oui"),(L34+M34)*(1-Paramètres!$D$20),L34+M34)</f>
        <v>1000</v>
      </c>
      <c r="O34" s="46" t="s">
        <v>60</v>
      </c>
      <c r="P34" s="47">
        <v>46117</v>
      </c>
      <c r="Q34" s="46" t="s">
        <v>137</v>
      </c>
      <c r="R34" s="47"/>
      <c r="S34" s="46" t="str">
        <f t="shared" ca="1" si="1"/>
        <v/>
      </c>
      <c r="T34" s="52" t="str">
        <f t="shared" ca="1" si="2"/>
        <v>⏳ Pas de date</v>
      </c>
    </row>
    <row r="35" spans="1:20" ht="15" customHeight="1">
      <c r="A35" s="49">
        <v>33</v>
      </c>
      <c r="B35" s="46" t="s">
        <v>141</v>
      </c>
      <c r="C35" s="42" t="s">
        <v>144</v>
      </c>
      <c r="D35" s="43">
        <v>43034</v>
      </c>
      <c r="E35" s="42">
        <f t="shared" ref="E35:E66" ca="1" si="4">IF(D35="","",DATEDIF(D35,TODAY(),"Y"))</f>
        <v>8</v>
      </c>
      <c r="F35" s="42" t="s">
        <v>43</v>
      </c>
      <c r="G35" s="46" t="s">
        <v>142</v>
      </c>
      <c r="H35" s="42" t="s">
        <v>143</v>
      </c>
      <c r="I35" s="42" t="s">
        <v>46</v>
      </c>
      <c r="J35" s="42"/>
      <c r="K35" s="81" t="str">
        <f t="shared" ca="1" si="3"/>
        <v>U9</v>
      </c>
      <c r="L35" s="48">
        <v>1000</v>
      </c>
      <c r="M35" s="79"/>
      <c r="N35" s="59">
        <f>IF(AND(I35="Oui",J35="Oui"),(L35+M35)*(1-Paramètres!$D$20),L35+M35)</f>
        <v>1000</v>
      </c>
      <c r="O35" s="42" t="s">
        <v>60</v>
      </c>
      <c r="P35" s="43">
        <v>46117</v>
      </c>
      <c r="Q35" s="42" t="s">
        <v>137</v>
      </c>
      <c r="R35" s="44"/>
      <c r="S35" s="45" t="str">
        <f t="shared" ref="S35:S66" ca="1" si="5">IF(OR(B35="",R35="",O35="Payé"),"",MAX(0,TODAY()-R35))</f>
        <v/>
      </c>
      <c r="T35" s="50" t="str">
        <f t="shared" ref="T35:T66" ca="1" si="6">IF(B35="","",IF(O35="Payé","✅ À jour",IF(R35="","⏳ Pas de date",IF(TODAY()&gt;R35,"🔴 En retard",IF(R35-TODAY()&lt;=7,"🟡 Bientôt dû","🟢 Dans les temps")))))</f>
        <v>⏳ Pas de date</v>
      </c>
    </row>
    <row r="36" spans="1:20" ht="15" customHeight="1">
      <c r="A36" s="51">
        <v>34</v>
      </c>
      <c r="B36" s="75" t="s">
        <v>41</v>
      </c>
      <c r="C36" s="46" t="s">
        <v>145</v>
      </c>
      <c r="D36" s="47">
        <v>41972</v>
      </c>
      <c r="E36" s="46">
        <f t="shared" ca="1" si="4"/>
        <v>11</v>
      </c>
      <c r="F36" s="46" t="s">
        <v>70</v>
      </c>
      <c r="G36" s="46" t="s">
        <v>146</v>
      </c>
      <c r="H36" s="46" t="s">
        <v>45</v>
      </c>
      <c r="I36" s="46" t="s">
        <v>46</v>
      </c>
      <c r="J36" s="46"/>
      <c r="K36" s="81" t="str">
        <f t="shared" ca="1" si="3"/>
        <v>U12F</v>
      </c>
      <c r="L36" s="48">
        <v>1750</v>
      </c>
      <c r="M36" s="79"/>
      <c r="N36" s="59">
        <f>IF(AND(I36="Oui",J36="Oui"),(L36+M36)*(1-Paramètres!$D$20),L36+M36)</f>
        <v>1750</v>
      </c>
      <c r="O36" s="46" t="s">
        <v>48</v>
      </c>
      <c r="P36" s="47">
        <v>46122</v>
      </c>
      <c r="Q36" s="46"/>
      <c r="R36" s="47"/>
      <c r="S36" s="46" t="str">
        <f t="shared" ca="1" si="5"/>
        <v/>
      </c>
      <c r="T36" s="52" t="str">
        <f t="shared" ca="1" si="6"/>
        <v>✅ À jour</v>
      </c>
    </row>
    <row r="37" spans="1:20" ht="15" customHeight="1">
      <c r="A37" s="49">
        <v>35</v>
      </c>
      <c r="B37" s="42" t="s">
        <v>41</v>
      </c>
      <c r="C37" s="42" t="s">
        <v>147</v>
      </c>
      <c r="D37" s="43">
        <v>44316</v>
      </c>
      <c r="E37" s="42">
        <f t="shared" ca="1" si="4"/>
        <v>5</v>
      </c>
      <c r="F37" s="42" t="s">
        <v>70</v>
      </c>
      <c r="G37" s="42" t="s">
        <v>146</v>
      </c>
      <c r="H37" s="42" t="s">
        <v>45</v>
      </c>
      <c r="I37" s="42" t="s">
        <v>46</v>
      </c>
      <c r="J37" s="42"/>
      <c r="K37" s="81" t="str">
        <f t="shared" ca="1" si="3"/>
        <v>U7</v>
      </c>
      <c r="L37" s="48">
        <v>500</v>
      </c>
      <c r="M37" s="79"/>
      <c r="N37" s="59">
        <f>IF(AND(I37="Oui",J37="Oui"),(L37+M37)*(1-Paramètres!$D$20),L37+M37)</f>
        <v>500</v>
      </c>
      <c r="O37" s="42" t="s">
        <v>48</v>
      </c>
      <c r="P37" s="43">
        <v>46122</v>
      </c>
      <c r="Q37" s="42"/>
      <c r="R37" s="44"/>
      <c r="S37" s="45" t="str">
        <f t="shared" ca="1" si="5"/>
        <v/>
      </c>
      <c r="T37" s="50" t="str">
        <f t="shared" ca="1" si="6"/>
        <v>✅ À jour</v>
      </c>
    </row>
    <row r="38" spans="1:20" ht="15" customHeight="1">
      <c r="A38" s="51">
        <v>36</v>
      </c>
      <c r="B38" s="46" t="s">
        <v>77</v>
      </c>
      <c r="C38" s="46" t="s">
        <v>148</v>
      </c>
      <c r="D38" s="47">
        <v>42347</v>
      </c>
      <c r="E38" s="46">
        <f ca="1">IF(D38="","",DATEDIF(D38,TODAY(),"Y"))</f>
        <v>10</v>
      </c>
      <c r="F38" s="46" t="s">
        <v>43</v>
      </c>
      <c r="G38" s="46" t="s">
        <v>149</v>
      </c>
      <c r="H38" s="46" t="s">
        <v>136</v>
      </c>
      <c r="I38" s="46" t="s">
        <v>46</v>
      </c>
      <c r="J38" s="46"/>
      <c r="K38" s="81" t="str">
        <f t="shared" ca="1" si="3"/>
        <v>U11</v>
      </c>
      <c r="L38" s="48">
        <v>2000</v>
      </c>
      <c r="M38" s="79"/>
      <c r="N38" s="59">
        <f>IF(AND(I38="Oui",J38="Oui"),(L38+M38)*(1-Paramètres!$D$20),L38+M38)</f>
        <v>2000</v>
      </c>
      <c r="O38" s="46" t="s">
        <v>48</v>
      </c>
      <c r="P38" s="47">
        <v>46117</v>
      </c>
      <c r="Q38" s="46" t="s">
        <v>150</v>
      </c>
      <c r="R38" s="47"/>
      <c r="S38" s="46" t="str">
        <f t="shared" ca="1" si="5"/>
        <v/>
      </c>
      <c r="T38" s="52" t="str">
        <f t="shared" ca="1" si="6"/>
        <v>✅ À jour</v>
      </c>
    </row>
    <row r="39" spans="1:20" ht="15" customHeight="1">
      <c r="A39" s="49">
        <v>37</v>
      </c>
      <c r="B39" s="42" t="s">
        <v>77</v>
      </c>
      <c r="C39" s="42" t="s">
        <v>151</v>
      </c>
      <c r="D39" s="43">
        <v>41618</v>
      </c>
      <c r="E39" s="42">
        <f t="shared" ca="1" si="4"/>
        <v>12</v>
      </c>
      <c r="F39" s="42" t="s">
        <v>43</v>
      </c>
      <c r="G39" s="46" t="s">
        <v>149</v>
      </c>
      <c r="H39" s="42" t="s">
        <v>136</v>
      </c>
      <c r="I39" s="42" t="s">
        <v>46</v>
      </c>
      <c r="J39" s="42"/>
      <c r="K39" s="81" t="str">
        <f t="shared" ca="1" si="3"/>
        <v>U13</v>
      </c>
      <c r="L39" s="48">
        <v>2000</v>
      </c>
      <c r="M39" s="79"/>
      <c r="N39" s="59">
        <f>IF(AND(I39="Oui",J39="Oui"),(L39+M39)*(1-Paramètres!$D$20),L39+M39)</f>
        <v>2000</v>
      </c>
      <c r="O39" s="42" t="s">
        <v>48</v>
      </c>
      <c r="P39" s="43">
        <v>46117</v>
      </c>
      <c r="Q39" s="42" t="s">
        <v>152</v>
      </c>
      <c r="R39" s="44"/>
      <c r="S39" s="45" t="str">
        <f t="shared" ca="1" si="5"/>
        <v/>
      </c>
      <c r="T39" s="50" t="str">
        <f t="shared" ca="1" si="6"/>
        <v>✅ À jour</v>
      </c>
    </row>
    <row r="40" spans="1:20" ht="15" customHeight="1">
      <c r="A40" s="51">
        <v>38</v>
      </c>
      <c r="B40" s="46" t="s">
        <v>153</v>
      </c>
      <c r="C40" s="42" t="s">
        <v>154</v>
      </c>
      <c r="D40" s="43">
        <v>42028</v>
      </c>
      <c r="E40" s="46">
        <f t="shared" ca="1" si="4"/>
        <v>11</v>
      </c>
      <c r="F40" s="46" t="s">
        <v>43</v>
      </c>
      <c r="G40" s="42" t="s">
        <v>108</v>
      </c>
      <c r="H40" s="46" t="s">
        <v>155</v>
      </c>
      <c r="I40" s="46" t="s">
        <v>46</v>
      </c>
      <c r="J40" s="46"/>
      <c r="K40" s="81" t="str">
        <f t="shared" ca="1" si="3"/>
        <v>U13</v>
      </c>
      <c r="L40" s="48">
        <v>2000</v>
      </c>
      <c r="M40" s="79"/>
      <c r="N40" s="59">
        <f>IF(AND(I40="Oui",J40="Oui"),(L40+M40)*(1-Paramètres!$D$20),L40+M40)</f>
        <v>2000</v>
      </c>
      <c r="O40" s="46" t="s">
        <v>48</v>
      </c>
      <c r="P40" s="47">
        <v>46122</v>
      </c>
      <c r="Q40" s="46" t="s">
        <v>156</v>
      </c>
      <c r="R40" s="47"/>
      <c r="S40" s="46" t="str">
        <f t="shared" ca="1" si="5"/>
        <v/>
      </c>
      <c r="T40" s="52" t="str">
        <f t="shared" ca="1" si="6"/>
        <v>✅ À jour</v>
      </c>
    </row>
    <row r="41" spans="1:20" ht="15" customHeight="1">
      <c r="A41" s="49">
        <v>39</v>
      </c>
      <c r="B41" s="46" t="s">
        <v>153</v>
      </c>
      <c r="C41" s="42" t="s">
        <v>57</v>
      </c>
      <c r="D41" s="43">
        <v>42695</v>
      </c>
      <c r="E41" s="42">
        <f t="shared" ca="1" si="4"/>
        <v>9</v>
      </c>
      <c r="F41" s="42" t="s">
        <v>43</v>
      </c>
      <c r="G41" s="42" t="s">
        <v>108</v>
      </c>
      <c r="H41" s="46" t="s">
        <v>155</v>
      </c>
      <c r="I41" s="42" t="s">
        <v>46</v>
      </c>
      <c r="J41" s="42"/>
      <c r="K41" s="81" t="str">
        <f t="shared" ca="1" si="3"/>
        <v>U11</v>
      </c>
      <c r="L41" s="48">
        <v>2000</v>
      </c>
      <c r="M41" s="79"/>
      <c r="N41" s="59">
        <f>IF(AND(I41="Oui",J41="Oui"),(L41+M41)*(1-Paramètres!$D$20),L41+M41)</f>
        <v>2000</v>
      </c>
      <c r="O41" s="42" t="s">
        <v>48</v>
      </c>
      <c r="P41" s="43">
        <v>46129</v>
      </c>
      <c r="Q41" s="42" t="s">
        <v>157</v>
      </c>
      <c r="R41" s="44"/>
      <c r="S41" s="45" t="str">
        <f t="shared" ca="1" si="5"/>
        <v/>
      </c>
      <c r="T41" s="50" t="str">
        <f t="shared" ca="1" si="6"/>
        <v>✅ À jour</v>
      </c>
    </row>
    <row r="42" spans="1:20" ht="15" customHeight="1">
      <c r="A42" s="51">
        <v>40</v>
      </c>
      <c r="B42" s="46" t="s">
        <v>158</v>
      </c>
      <c r="C42" s="46" t="s">
        <v>159</v>
      </c>
      <c r="D42" s="47">
        <v>41555</v>
      </c>
      <c r="E42" s="46">
        <f t="shared" ca="1" si="4"/>
        <v>12</v>
      </c>
      <c r="F42" s="46" t="s">
        <v>43</v>
      </c>
      <c r="G42" s="46" t="s">
        <v>160</v>
      </c>
      <c r="H42" s="46" t="s">
        <v>113</v>
      </c>
      <c r="I42" s="46" t="s">
        <v>46</v>
      </c>
      <c r="J42" s="46"/>
      <c r="K42" s="81" t="str">
        <f t="shared" ca="1" si="3"/>
        <v>U13</v>
      </c>
      <c r="L42" s="48">
        <v>2000</v>
      </c>
      <c r="M42" s="79"/>
      <c r="N42" s="59">
        <f>IF(AND(I42="Oui",J42="Oui"),(L42+M42)*(1-Paramètres!$D$20),L42+M42)</f>
        <v>2000</v>
      </c>
      <c r="O42" s="46" t="s">
        <v>48</v>
      </c>
      <c r="P42" s="47">
        <v>46120</v>
      </c>
      <c r="Q42" s="46" t="s">
        <v>161</v>
      </c>
      <c r="R42" s="47"/>
      <c r="S42" s="46" t="str">
        <f t="shared" ca="1" si="5"/>
        <v/>
      </c>
      <c r="T42" s="52" t="str">
        <f t="shared" ca="1" si="6"/>
        <v>✅ À jour</v>
      </c>
    </row>
    <row r="43" spans="1:20" ht="15" customHeight="1">
      <c r="A43" s="49">
        <v>41</v>
      </c>
      <c r="B43" s="42" t="s">
        <v>162</v>
      </c>
      <c r="C43" s="42" t="s">
        <v>163</v>
      </c>
      <c r="D43" s="43">
        <v>41147</v>
      </c>
      <c r="E43" s="42">
        <f t="shared" ca="1" si="4"/>
        <v>13</v>
      </c>
      <c r="F43" s="42" t="s">
        <v>43</v>
      </c>
      <c r="G43" s="42" t="s">
        <v>164</v>
      </c>
      <c r="H43" s="42" t="s">
        <v>139</v>
      </c>
      <c r="I43" s="42" t="s">
        <v>46</v>
      </c>
      <c r="J43" s="42"/>
      <c r="K43" s="81" t="str">
        <f t="shared" ca="1" si="3"/>
        <v>U15</v>
      </c>
      <c r="L43" s="48">
        <v>1000</v>
      </c>
      <c r="M43" s="79"/>
      <c r="N43" s="59">
        <f>IF(AND(I43="Oui",J43="Oui"),(L43+M43)*(1-Paramètres!$D$20),L43+M43)</f>
        <v>1000</v>
      </c>
      <c r="O43" s="42" t="s">
        <v>60</v>
      </c>
      <c r="P43" s="43">
        <v>46117</v>
      </c>
      <c r="Q43" s="42" t="s">
        <v>165</v>
      </c>
      <c r="R43" s="44"/>
      <c r="S43" s="45" t="str">
        <f t="shared" ca="1" si="5"/>
        <v/>
      </c>
      <c r="T43" s="50" t="str">
        <f t="shared" ca="1" si="6"/>
        <v>⏳ Pas de date</v>
      </c>
    </row>
    <row r="44" spans="1:20" ht="15" customHeight="1">
      <c r="A44" s="51">
        <v>42</v>
      </c>
      <c r="B44" s="42" t="s">
        <v>162</v>
      </c>
      <c r="C44" s="46" t="s">
        <v>166</v>
      </c>
      <c r="D44" s="47">
        <v>41147</v>
      </c>
      <c r="E44" s="46">
        <f t="shared" ca="1" si="4"/>
        <v>13</v>
      </c>
      <c r="F44" s="46" t="s">
        <v>43</v>
      </c>
      <c r="G44" s="42" t="s">
        <v>164</v>
      </c>
      <c r="H44" s="46" t="s">
        <v>139</v>
      </c>
      <c r="I44" s="46" t="s">
        <v>46</v>
      </c>
      <c r="J44" s="46"/>
      <c r="K44" s="81" t="str">
        <f t="shared" ca="1" si="3"/>
        <v>U15</v>
      </c>
      <c r="L44" s="48">
        <v>1000</v>
      </c>
      <c r="M44" s="79"/>
      <c r="N44" s="59">
        <f>IF(AND(I44="Oui",J44="Oui"),(L44+M44)*(1-Paramètres!$D$20),L44+M44)</f>
        <v>1000</v>
      </c>
      <c r="O44" s="46" t="s">
        <v>60</v>
      </c>
      <c r="P44" s="47">
        <v>46117</v>
      </c>
      <c r="Q44" s="46" t="s">
        <v>165</v>
      </c>
      <c r="R44" s="47"/>
      <c r="S44" s="46" t="str">
        <f t="shared" ca="1" si="5"/>
        <v/>
      </c>
      <c r="T44" s="52" t="str">
        <f t="shared" ca="1" si="6"/>
        <v>⏳ Pas de date</v>
      </c>
    </row>
    <row r="45" spans="1:20" ht="15" customHeight="1">
      <c r="A45" s="49">
        <v>43</v>
      </c>
      <c r="B45" s="42" t="s">
        <v>167</v>
      </c>
      <c r="C45" s="42" t="s">
        <v>168</v>
      </c>
      <c r="D45" s="43">
        <v>41478</v>
      </c>
      <c r="E45" s="42">
        <f t="shared" ca="1" si="4"/>
        <v>12</v>
      </c>
      <c r="F45" s="42" t="s">
        <v>43</v>
      </c>
      <c r="G45" s="42" t="s">
        <v>169</v>
      </c>
      <c r="H45" s="42" t="s">
        <v>59</v>
      </c>
      <c r="I45" s="42" t="s">
        <v>46</v>
      </c>
      <c r="J45" s="42"/>
      <c r="K45" s="81" t="str">
        <f t="shared" ca="1" si="3"/>
        <v>U13</v>
      </c>
      <c r="L45" s="48">
        <v>1000</v>
      </c>
      <c r="M45" s="79"/>
      <c r="N45" s="59">
        <f>IF(AND(I45="Oui",J45="Oui"),(L45+M45)*(1-Paramètres!$D$20),L45+M45)</f>
        <v>1000</v>
      </c>
      <c r="O45" s="42" t="s">
        <v>60</v>
      </c>
      <c r="P45" s="43">
        <v>46117</v>
      </c>
      <c r="Q45" s="42" t="s">
        <v>170</v>
      </c>
      <c r="R45" s="44"/>
      <c r="S45" s="45" t="str">
        <f t="shared" ca="1" si="5"/>
        <v/>
      </c>
      <c r="T45" s="50" t="str">
        <f t="shared" ca="1" si="6"/>
        <v>⏳ Pas de date</v>
      </c>
    </row>
    <row r="46" spans="1:20" ht="15" customHeight="1">
      <c r="A46" s="51">
        <v>44</v>
      </c>
      <c r="B46" s="46" t="s">
        <v>77</v>
      </c>
      <c r="C46" s="46" t="s">
        <v>171</v>
      </c>
      <c r="D46" s="47">
        <v>40798</v>
      </c>
      <c r="E46" s="46">
        <f t="shared" ca="1" si="4"/>
        <v>14</v>
      </c>
      <c r="F46" s="46" t="s">
        <v>43</v>
      </c>
      <c r="G46" s="46" t="s">
        <v>172</v>
      </c>
      <c r="H46" s="46" t="s">
        <v>173</v>
      </c>
      <c r="I46" s="46" t="s">
        <v>46</v>
      </c>
      <c r="J46" s="46"/>
      <c r="K46" s="81" t="str">
        <f t="shared" ca="1" si="3"/>
        <v>U15</v>
      </c>
      <c r="L46" s="48">
        <v>1000</v>
      </c>
      <c r="M46" s="79"/>
      <c r="N46" s="59">
        <f>IF(AND(I46="Oui",J46="Oui"),(L46+M46)*(1-Paramètres!$D$20),L46+M46)</f>
        <v>1000</v>
      </c>
      <c r="O46" s="46" t="s">
        <v>60</v>
      </c>
      <c r="P46" s="47">
        <v>46117</v>
      </c>
      <c r="Q46" s="46" t="s">
        <v>137</v>
      </c>
      <c r="R46" s="47"/>
      <c r="S46" s="46" t="str">
        <f t="shared" ca="1" si="5"/>
        <v/>
      </c>
      <c r="T46" s="52" t="str">
        <f t="shared" ca="1" si="6"/>
        <v>⏳ Pas de date</v>
      </c>
    </row>
    <row r="47" spans="1:20" ht="15" customHeight="1">
      <c r="A47" s="49">
        <v>45</v>
      </c>
      <c r="B47" s="42" t="s">
        <v>174</v>
      </c>
      <c r="C47" s="42" t="s">
        <v>175</v>
      </c>
      <c r="D47" s="43">
        <v>43219</v>
      </c>
      <c r="E47" s="42">
        <f t="shared" ca="1" si="4"/>
        <v>8</v>
      </c>
      <c r="F47" s="42" t="s">
        <v>43</v>
      </c>
      <c r="G47" s="42" t="s">
        <v>176</v>
      </c>
      <c r="H47" s="42" t="s">
        <v>136</v>
      </c>
      <c r="I47" s="42" t="s">
        <v>46</v>
      </c>
      <c r="J47" s="42"/>
      <c r="K47" s="81" t="str">
        <f t="shared" ca="1" si="3"/>
        <v>U9</v>
      </c>
      <c r="L47" s="48">
        <v>1000</v>
      </c>
      <c r="M47" s="79"/>
      <c r="N47" s="59">
        <f>IF(AND(I47="Oui",J47="Oui"),(L47+M47)*(1-Paramètres!$D$20),L47+M47)</f>
        <v>1000</v>
      </c>
      <c r="O47" s="42" t="s">
        <v>60</v>
      </c>
      <c r="P47" s="43">
        <v>46126</v>
      </c>
      <c r="Q47" s="42" t="s">
        <v>55</v>
      </c>
      <c r="R47" s="44"/>
      <c r="S47" s="45" t="str">
        <f t="shared" ca="1" si="5"/>
        <v/>
      </c>
      <c r="T47" s="50" t="str">
        <f t="shared" ca="1" si="6"/>
        <v>⏳ Pas de date</v>
      </c>
    </row>
    <row r="48" spans="1:20" ht="15" customHeight="1">
      <c r="A48" s="51">
        <v>46</v>
      </c>
      <c r="B48" s="46" t="s">
        <v>127</v>
      </c>
      <c r="C48" s="46" t="s">
        <v>177</v>
      </c>
      <c r="D48" s="47">
        <v>41640</v>
      </c>
      <c r="E48" s="46">
        <f t="shared" ca="1" si="4"/>
        <v>12</v>
      </c>
      <c r="F48" s="46" t="s">
        <v>43</v>
      </c>
      <c r="G48" s="46" t="s">
        <v>178</v>
      </c>
      <c r="H48" s="46" t="s">
        <v>179</v>
      </c>
      <c r="I48" s="46" t="s">
        <v>46</v>
      </c>
      <c r="J48" s="46"/>
      <c r="K48" s="81" t="str">
        <f t="shared" ca="1" si="3"/>
        <v>U13</v>
      </c>
      <c r="L48" s="48">
        <v>1000</v>
      </c>
      <c r="M48" s="79"/>
      <c r="N48" s="59">
        <f>IF(AND(I48="Oui",J48="Oui"),(L48+M48)*(1-Paramètres!$D$20),L48+M48)</f>
        <v>1000</v>
      </c>
      <c r="O48" s="46" t="s">
        <v>60</v>
      </c>
      <c r="P48" s="47">
        <v>46117</v>
      </c>
      <c r="Q48" s="46" t="s">
        <v>180</v>
      </c>
      <c r="R48" s="47"/>
      <c r="S48" s="46" t="str">
        <f t="shared" ca="1" si="5"/>
        <v/>
      </c>
      <c r="T48" s="52" t="str">
        <f t="shared" ca="1" si="6"/>
        <v>⏳ Pas de date</v>
      </c>
    </row>
    <row r="49" spans="1:20" ht="15" customHeight="1">
      <c r="A49" s="49">
        <v>47</v>
      </c>
      <c r="B49" s="42" t="s">
        <v>115</v>
      </c>
      <c r="C49" s="42" t="s">
        <v>57</v>
      </c>
      <c r="D49" s="43">
        <v>42323</v>
      </c>
      <c r="E49" s="42">
        <f t="shared" ca="1" si="4"/>
        <v>10</v>
      </c>
      <c r="F49" s="42" t="s">
        <v>43</v>
      </c>
      <c r="G49" s="42" t="s">
        <v>181</v>
      </c>
      <c r="H49" s="42" t="s">
        <v>113</v>
      </c>
      <c r="I49" s="42" t="s">
        <v>46</v>
      </c>
      <c r="J49" s="42"/>
      <c r="K49" s="81" t="str">
        <f t="shared" ca="1" si="3"/>
        <v>U11</v>
      </c>
      <c r="L49" s="48">
        <v>2000</v>
      </c>
      <c r="M49" s="79"/>
      <c r="N49" s="59">
        <f>IF(AND(I49="Oui",J49="Oui"),(L49+M49)*(1-Paramètres!$D$20),L49+M49)</f>
        <v>2000</v>
      </c>
      <c r="O49" s="42" t="s">
        <v>48</v>
      </c>
      <c r="P49" s="43">
        <v>46117</v>
      </c>
      <c r="Q49" s="42" t="s">
        <v>182</v>
      </c>
      <c r="R49" s="44"/>
      <c r="S49" s="45" t="str">
        <f t="shared" ca="1" si="5"/>
        <v/>
      </c>
      <c r="T49" s="50" t="str">
        <f t="shared" ca="1" si="6"/>
        <v>✅ À jour</v>
      </c>
    </row>
    <row r="50" spans="1:20" ht="15" customHeight="1">
      <c r="A50" s="51">
        <v>48</v>
      </c>
      <c r="B50" s="42" t="s">
        <v>115</v>
      </c>
      <c r="C50" s="46" t="s">
        <v>183</v>
      </c>
      <c r="D50" s="47">
        <v>44541</v>
      </c>
      <c r="E50" s="46">
        <f t="shared" ca="1" si="4"/>
        <v>4</v>
      </c>
      <c r="F50" s="46" t="s">
        <v>43</v>
      </c>
      <c r="G50" s="42" t="s">
        <v>181</v>
      </c>
      <c r="H50" s="46" t="s">
        <v>113</v>
      </c>
      <c r="I50" s="46" t="s">
        <v>46</v>
      </c>
      <c r="J50" s="46"/>
      <c r="K50" s="81" t="str">
        <f t="shared" ca="1" si="3"/>
        <v>U5</v>
      </c>
      <c r="L50" s="48">
        <v>2000</v>
      </c>
      <c r="M50" s="79"/>
      <c r="N50" s="59">
        <f>IF(AND(I50="Oui",J50="Oui"),(L50+M50)*(1-Paramètres!$D$20),L50+M50)</f>
        <v>2000</v>
      </c>
      <c r="O50" s="46" t="s">
        <v>48</v>
      </c>
      <c r="P50" s="47">
        <v>46117</v>
      </c>
      <c r="Q50" s="46" t="s">
        <v>184</v>
      </c>
      <c r="R50" s="47"/>
      <c r="S50" s="46" t="str">
        <f t="shared" ca="1" si="5"/>
        <v/>
      </c>
      <c r="T50" s="52" t="str">
        <f t="shared" ca="1" si="6"/>
        <v>✅ À jour</v>
      </c>
    </row>
    <row r="51" spans="1:20" ht="15" customHeight="1">
      <c r="A51" s="49">
        <v>49</v>
      </c>
      <c r="B51" s="42" t="s">
        <v>185</v>
      </c>
      <c r="C51" s="42" t="s">
        <v>186</v>
      </c>
      <c r="D51" s="43">
        <v>43852</v>
      </c>
      <c r="E51" s="42">
        <f t="shared" ca="1" si="4"/>
        <v>6</v>
      </c>
      <c r="F51" s="42" t="s">
        <v>43</v>
      </c>
      <c r="G51" s="42" t="s">
        <v>187</v>
      </c>
      <c r="H51" s="42" t="s">
        <v>188</v>
      </c>
      <c r="I51" s="42" t="s">
        <v>46</v>
      </c>
      <c r="J51" s="42"/>
      <c r="K51" s="81" t="str">
        <f t="shared" ca="1" si="3"/>
        <v>U7</v>
      </c>
      <c r="L51" s="48">
        <v>2000</v>
      </c>
      <c r="M51" s="79"/>
      <c r="N51" s="59">
        <f>IF(AND(I51="Oui",J51="Oui"),(L51+M51)*(1-Paramètres!$D$20),L51+M51)</f>
        <v>2000</v>
      </c>
      <c r="O51" s="42" t="s">
        <v>48</v>
      </c>
      <c r="P51" s="43">
        <v>46117</v>
      </c>
      <c r="Q51" s="42" t="s">
        <v>189</v>
      </c>
      <c r="R51" s="44"/>
      <c r="S51" s="45" t="str">
        <f t="shared" ca="1" si="5"/>
        <v/>
      </c>
      <c r="T51" s="50" t="str">
        <f t="shared" ca="1" si="6"/>
        <v>✅ À jour</v>
      </c>
    </row>
    <row r="52" spans="1:20" ht="15" customHeight="1">
      <c r="A52" s="51">
        <v>50</v>
      </c>
      <c r="B52" s="42" t="s">
        <v>185</v>
      </c>
      <c r="C52" s="46" t="s">
        <v>190</v>
      </c>
      <c r="D52" s="47">
        <v>42832</v>
      </c>
      <c r="E52" s="46">
        <f t="shared" ca="1" si="4"/>
        <v>9</v>
      </c>
      <c r="F52" s="46" t="s">
        <v>43</v>
      </c>
      <c r="G52" s="42" t="s">
        <v>187</v>
      </c>
      <c r="H52" s="46" t="s">
        <v>188</v>
      </c>
      <c r="I52" s="46" t="s">
        <v>46</v>
      </c>
      <c r="J52" s="46"/>
      <c r="K52" s="81" t="str">
        <f t="shared" ca="1" si="3"/>
        <v>U11</v>
      </c>
      <c r="L52" s="48">
        <v>2000</v>
      </c>
      <c r="M52" s="79"/>
      <c r="N52" s="59">
        <f>IF(AND(I52="Oui",J52="Oui"),(L52+M52)*(1-Paramètres!$D$20),L52+M52)</f>
        <v>2000</v>
      </c>
      <c r="O52" s="46" t="s">
        <v>48</v>
      </c>
      <c r="P52" s="47">
        <v>46117</v>
      </c>
      <c r="Q52" s="42" t="s">
        <v>189</v>
      </c>
      <c r="R52" s="47"/>
      <c r="S52" s="46" t="str">
        <f t="shared" ca="1" si="5"/>
        <v/>
      </c>
      <c r="T52" s="52" t="str">
        <f t="shared" ca="1" si="6"/>
        <v>✅ À jour</v>
      </c>
    </row>
    <row r="53" spans="1:20" ht="15" customHeight="1">
      <c r="A53" s="49">
        <v>51</v>
      </c>
      <c r="B53" s="42" t="s">
        <v>115</v>
      </c>
      <c r="C53" s="42" t="s">
        <v>191</v>
      </c>
      <c r="D53" s="43">
        <v>43344</v>
      </c>
      <c r="E53" s="42">
        <f t="shared" ca="1" si="4"/>
        <v>7</v>
      </c>
      <c r="F53" s="42" t="s">
        <v>43</v>
      </c>
      <c r="G53" s="71" t="s">
        <v>192</v>
      </c>
      <c r="H53" s="42" t="s">
        <v>59</v>
      </c>
      <c r="I53" s="42" t="s">
        <v>46</v>
      </c>
      <c r="J53" s="42"/>
      <c r="K53" s="81" t="str">
        <f t="shared" ca="1" si="3"/>
        <v>U9</v>
      </c>
      <c r="L53" s="48">
        <v>2000</v>
      </c>
      <c r="M53" s="79"/>
      <c r="N53" s="59">
        <f>IF(AND(I53="Oui",J53="Oui"),(L53+M53)*(1-Paramètres!$D$20),L53+M53)</f>
        <v>2000</v>
      </c>
      <c r="O53" s="42" t="s">
        <v>48</v>
      </c>
      <c r="P53" s="43">
        <v>46126</v>
      </c>
      <c r="Q53" s="42" t="s">
        <v>193</v>
      </c>
      <c r="R53" s="44"/>
      <c r="S53" s="45" t="str">
        <f t="shared" ca="1" si="5"/>
        <v/>
      </c>
      <c r="T53" s="50" t="str">
        <f t="shared" ca="1" si="6"/>
        <v>✅ À jour</v>
      </c>
    </row>
    <row r="54" spans="1:20" ht="15" customHeight="1">
      <c r="A54" s="51">
        <v>52</v>
      </c>
      <c r="B54" s="46" t="s">
        <v>194</v>
      </c>
      <c r="C54" s="46" t="s">
        <v>195</v>
      </c>
      <c r="D54" s="47">
        <v>42662</v>
      </c>
      <c r="E54" s="46">
        <f t="shared" ca="1" si="4"/>
        <v>9</v>
      </c>
      <c r="F54" s="46" t="s">
        <v>43</v>
      </c>
      <c r="G54" s="46" t="s">
        <v>196</v>
      </c>
      <c r="H54" s="46" t="s">
        <v>59</v>
      </c>
      <c r="I54" s="46" t="s">
        <v>46</v>
      </c>
      <c r="J54" s="46"/>
      <c r="K54" s="81" t="str">
        <f t="shared" ca="1" si="3"/>
        <v>U11</v>
      </c>
      <c r="L54" s="48">
        <v>2000</v>
      </c>
      <c r="M54" s="79"/>
      <c r="N54" s="59">
        <f>IF(AND(I54="Oui",J54="Oui"),(L54+M54)*(1-Paramètres!$D$20),L54+M54)</f>
        <v>2000</v>
      </c>
      <c r="O54" s="46" t="s">
        <v>48</v>
      </c>
      <c r="P54" s="47">
        <v>46117</v>
      </c>
      <c r="Q54" s="46" t="s">
        <v>197</v>
      </c>
      <c r="R54" s="47"/>
      <c r="S54" s="46" t="str">
        <f t="shared" ca="1" si="5"/>
        <v/>
      </c>
      <c r="T54" s="52" t="str">
        <f t="shared" ca="1" si="6"/>
        <v>✅ À jour</v>
      </c>
    </row>
    <row r="55" spans="1:20" ht="15" customHeight="1">
      <c r="A55" s="49">
        <v>53</v>
      </c>
      <c r="B55" s="42" t="s">
        <v>198</v>
      </c>
      <c r="C55" s="42" t="s">
        <v>199</v>
      </c>
      <c r="D55" s="43">
        <v>42985</v>
      </c>
      <c r="E55" s="42">
        <f t="shared" ca="1" si="4"/>
        <v>8</v>
      </c>
      <c r="F55" s="42" t="s">
        <v>43</v>
      </c>
      <c r="G55" s="42" t="s">
        <v>200</v>
      </c>
      <c r="H55" s="42" t="s">
        <v>201</v>
      </c>
      <c r="I55" s="42" t="s">
        <v>46</v>
      </c>
      <c r="J55" s="42"/>
      <c r="K55" s="81" t="str">
        <f t="shared" ca="1" si="3"/>
        <v>U9</v>
      </c>
      <c r="L55" s="48">
        <v>2000</v>
      </c>
      <c r="M55" s="79"/>
      <c r="N55" s="59">
        <f>IF(AND(I55="Oui",J55="Oui"),(L55+M55)*(1-Paramètres!$D$20),L55+M55)</f>
        <v>2000</v>
      </c>
      <c r="O55" s="42" t="s">
        <v>48</v>
      </c>
      <c r="P55" s="43">
        <v>46117</v>
      </c>
      <c r="Q55" s="42" t="s">
        <v>202</v>
      </c>
      <c r="R55" s="44"/>
      <c r="S55" s="45" t="str">
        <f t="shared" ca="1" si="5"/>
        <v/>
      </c>
      <c r="T55" s="50" t="str">
        <f t="shared" ca="1" si="6"/>
        <v>✅ À jour</v>
      </c>
    </row>
    <row r="56" spans="1:20" ht="15" customHeight="1">
      <c r="A56" s="51">
        <v>54</v>
      </c>
      <c r="B56" s="42" t="s">
        <v>198</v>
      </c>
      <c r="C56" s="46" t="s">
        <v>134</v>
      </c>
      <c r="D56" s="47">
        <v>44531</v>
      </c>
      <c r="E56" s="46">
        <f t="shared" ca="1" si="4"/>
        <v>4</v>
      </c>
      <c r="F56" s="46" t="s">
        <v>43</v>
      </c>
      <c r="G56" s="42" t="s">
        <v>200</v>
      </c>
      <c r="H56" s="42" t="s">
        <v>201</v>
      </c>
      <c r="I56" s="46" t="s">
        <v>46</v>
      </c>
      <c r="J56" s="46"/>
      <c r="K56" s="81" t="str">
        <f t="shared" ca="1" si="3"/>
        <v>U5</v>
      </c>
      <c r="L56" s="48">
        <v>2000</v>
      </c>
      <c r="M56" s="79"/>
      <c r="N56" s="59">
        <f>IF(AND(I56="Oui",J56="Oui"),(L56+M56)*(1-Paramètres!$D$20),L56+M56)</f>
        <v>2000</v>
      </c>
      <c r="O56" s="46" t="s">
        <v>48</v>
      </c>
      <c r="P56" s="47">
        <v>46117</v>
      </c>
      <c r="Q56" s="42" t="s">
        <v>202</v>
      </c>
      <c r="R56" s="47"/>
      <c r="S56" s="46" t="str">
        <f t="shared" ca="1" si="5"/>
        <v/>
      </c>
      <c r="T56" s="52" t="str">
        <f t="shared" ca="1" si="6"/>
        <v>✅ À jour</v>
      </c>
    </row>
    <row r="57" spans="1:20" ht="15" customHeight="1">
      <c r="A57" s="49">
        <v>55</v>
      </c>
      <c r="B57" s="42" t="s">
        <v>198</v>
      </c>
      <c r="C57" s="42" t="s">
        <v>203</v>
      </c>
      <c r="D57" s="43">
        <v>42079</v>
      </c>
      <c r="E57" s="42">
        <f t="shared" ca="1" si="4"/>
        <v>11</v>
      </c>
      <c r="F57" s="42" t="s">
        <v>70</v>
      </c>
      <c r="G57" s="42" t="s">
        <v>200</v>
      </c>
      <c r="H57" s="42" t="s">
        <v>201</v>
      </c>
      <c r="I57" s="42" t="s">
        <v>46</v>
      </c>
      <c r="J57" s="42"/>
      <c r="K57" s="81" t="str">
        <f t="shared" ca="1" si="3"/>
        <v>U12F</v>
      </c>
      <c r="L57" s="48">
        <v>2000</v>
      </c>
      <c r="M57" s="79"/>
      <c r="N57" s="59">
        <f>IF(AND(I57="Oui",J57="Oui"),(L57+M57)*(1-Paramètres!$D$20),L57+M57)</f>
        <v>2000</v>
      </c>
      <c r="O57" s="42" t="s">
        <v>48</v>
      </c>
      <c r="P57" s="43">
        <v>46117</v>
      </c>
      <c r="Q57" s="42" t="s">
        <v>202</v>
      </c>
      <c r="R57" s="44"/>
      <c r="S57" s="45" t="str">
        <f t="shared" ca="1" si="5"/>
        <v/>
      </c>
      <c r="T57" s="50" t="str">
        <f t="shared" ca="1" si="6"/>
        <v>✅ À jour</v>
      </c>
    </row>
    <row r="58" spans="1:20" ht="15" customHeight="1">
      <c r="A58" s="51">
        <v>56</v>
      </c>
      <c r="B58" s="46" t="s">
        <v>115</v>
      </c>
      <c r="C58" s="46" t="s">
        <v>204</v>
      </c>
      <c r="D58" s="47">
        <v>42168</v>
      </c>
      <c r="E58" s="46">
        <f t="shared" ca="1" si="4"/>
        <v>10</v>
      </c>
      <c r="F58" s="46" t="s">
        <v>43</v>
      </c>
      <c r="G58" s="46" t="s">
        <v>117</v>
      </c>
      <c r="H58" s="46" t="s">
        <v>59</v>
      </c>
      <c r="I58" s="46" t="s">
        <v>46</v>
      </c>
      <c r="J58" s="46"/>
      <c r="K58" s="81" t="str">
        <f t="shared" ca="1" si="3"/>
        <v>U11</v>
      </c>
      <c r="L58" s="48">
        <v>2000</v>
      </c>
      <c r="M58" s="79"/>
      <c r="N58" s="59">
        <f>IF(AND(I58="Oui",J58="Oui"),(L58+M58)*(1-Paramètres!$D$20),L58+M58)</f>
        <v>2000</v>
      </c>
      <c r="O58" s="46" t="s">
        <v>48</v>
      </c>
      <c r="P58" s="47">
        <v>46127</v>
      </c>
      <c r="Q58" s="46" t="s">
        <v>205</v>
      </c>
      <c r="R58" s="47"/>
      <c r="S58" s="46" t="str">
        <f t="shared" ca="1" si="5"/>
        <v/>
      </c>
      <c r="T58" s="52" t="str">
        <f t="shared" ca="1" si="6"/>
        <v>✅ À jour</v>
      </c>
    </row>
    <row r="59" spans="1:20" ht="15" customHeight="1">
      <c r="A59" s="49">
        <v>57</v>
      </c>
      <c r="B59" s="42" t="s">
        <v>91</v>
      </c>
      <c r="C59" s="42" t="s">
        <v>134</v>
      </c>
      <c r="D59" s="43">
        <v>43531</v>
      </c>
      <c r="E59" s="42">
        <f t="shared" ca="1" si="4"/>
        <v>7</v>
      </c>
      <c r="F59" s="42" t="s">
        <v>43</v>
      </c>
      <c r="G59" s="42" t="s">
        <v>206</v>
      </c>
      <c r="H59" s="42" t="s">
        <v>100</v>
      </c>
      <c r="I59" s="42" t="s">
        <v>46</v>
      </c>
      <c r="J59" s="42"/>
      <c r="K59" s="81" t="str">
        <f t="shared" ca="1" si="3"/>
        <v>U9</v>
      </c>
      <c r="L59" s="48">
        <v>2000</v>
      </c>
      <c r="M59" s="79"/>
      <c r="N59" s="59">
        <f>IF(AND(I59="Oui",J59="Oui"),(L59+M59)*(1-Paramètres!$D$20),L59+M59)</f>
        <v>2000</v>
      </c>
      <c r="O59" s="42" t="s">
        <v>48</v>
      </c>
      <c r="P59" s="43">
        <v>46127</v>
      </c>
      <c r="Q59" s="42" t="s">
        <v>137</v>
      </c>
      <c r="R59" s="44"/>
      <c r="S59" s="45" t="str">
        <f t="shared" ca="1" si="5"/>
        <v/>
      </c>
      <c r="T59" s="50" t="str">
        <f t="shared" ca="1" si="6"/>
        <v>✅ À jour</v>
      </c>
    </row>
    <row r="60" spans="1:20" ht="15" customHeight="1">
      <c r="A60" s="51">
        <v>58</v>
      </c>
      <c r="B60" s="46" t="s">
        <v>207</v>
      </c>
      <c r="C60" s="46" t="s">
        <v>124</v>
      </c>
      <c r="D60" s="47">
        <v>42471</v>
      </c>
      <c r="E60" s="46">
        <f t="shared" ca="1" si="4"/>
        <v>10</v>
      </c>
      <c r="F60" s="46" t="s">
        <v>43</v>
      </c>
      <c r="G60" s="42" t="s">
        <v>206</v>
      </c>
      <c r="H60" s="46" t="s">
        <v>100</v>
      </c>
      <c r="I60" s="46" t="s">
        <v>46</v>
      </c>
      <c r="J60" s="46"/>
      <c r="K60" s="81" t="str">
        <f t="shared" ca="1" si="3"/>
        <v>U11</v>
      </c>
      <c r="L60" s="48">
        <v>2000</v>
      </c>
      <c r="M60" s="79"/>
      <c r="N60" s="59">
        <f>IF(AND(I60="Oui",J60="Oui"),(L60+M60)*(1-Paramètres!$D$20),L60+M60)</f>
        <v>2000</v>
      </c>
      <c r="O60" s="46" t="s">
        <v>48</v>
      </c>
      <c r="P60" s="47">
        <v>46127</v>
      </c>
      <c r="Q60" s="46" t="s">
        <v>65</v>
      </c>
      <c r="R60" s="47"/>
      <c r="S60" s="46" t="str">
        <f t="shared" ca="1" si="5"/>
        <v/>
      </c>
      <c r="T60" s="52" t="str">
        <f t="shared" ca="1" si="6"/>
        <v>✅ À jour</v>
      </c>
    </row>
    <row r="61" spans="1:20" ht="15" customHeight="1">
      <c r="A61" s="49">
        <v>59</v>
      </c>
      <c r="B61" s="42" t="s">
        <v>51</v>
      </c>
      <c r="C61" s="42" t="s">
        <v>52</v>
      </c>
      <c r="D61" s="43">
        <v>41880</v>
      </c>
      <c r="E61" s="42">
        <f t="shared" ca="1" si="4"/>
        <v>11</v>
      </c>
      <c r="F61" s="42" t="s">
        <v>43</v>
      </c>
      <c r="G61" s="42" t="s">
        <v>208</v>
      </c>
      <c r="H61" s="42" t="s">
        <v>59</v>
      </c>
      <c r="I61" s="42" t="s">
        <v>46</v>
      </c>
      <c r="J61" s="42"/>
      <c r="K61" s="81" t="str">
        <f t="shared" ca="1" si="3"/>
        <v>U13</v>
      </c>
      <c r="L61" s="48">
        <v>2000</v>
      </c>
      <c r="M61" s="79"/>
      <c r="N61" s="59">
        <f>IF(AND(I61="Oui",J61="Oui"),(L61+M61)*(1-Paramètres!$D$20),L61+M61)</f>
        <v>2000</v>
      </c>
      <c r="O61" s="42" t="s">
        <v>48</v>
      </c>
      <c r="P61" s="43">
        <v>46127</v>
      </c>
      <c r="Q61" s="42" t="s">
        <v>180</v>
      </c>
      <c r="R61" s="44"/>
      <c r="S61" s="45" t="str">
        <f t="shared" ca="1" si="5"/>
        <v/>
      </c>
      <c r="T61" s="50" t="str">
        <f t="shared" ca="1" si="6"/>
        <v>✅ À jour</v>
      </c>
    </row>
    <row r="62" spans="1:20" ht="15" customHeight="1">
      <c r="A62" s="51">
        <v>60</v>
      </c>
      <c r="B62" s="46" t="s">
        <v>209</v>
      </c>
      <c r="C62" s="46" t="s">
        <v>210</v>
      </c>
      <c r="D62" s="47">
        <v>44110</v>
      </c>
      <c r="E62" s="46">
        <f t="shared" ca="1" si="4"/>
        <v>5</v>
      </c>
      <c r="F62" s="46" t="s">
        <v>43</v>
      </c>
      <c r="G62" s="46" t="s">
        <v>211</v>
      </c>
      <c r="H62" s="46" t="s">
        <v>45</v>
      </c>
      <c r="I62" s="46" t="s">
        <v>46</v>
      </c>
      <c r="J62" s="46"/>
      <c r="K62" s="81" t="str">
        <f t="shared" ca="1" si="3"/>
        <v>U7</v>
      </c>
      <c r="L62" s="48">
        <v>2000</v>
      </c>
      <c r="M62" s="79"/>
      <c r="N62" s="59">
        <f>IF(AND(I62="Oui",J62="Oui"),(L62+M62)*(1-Paramètres!$D$20),L62+M62)</f>
        <v>2000</v>
      </c>
      <c r="O62" s="46" t="s">
        <v>48</v>
      </c>
      <c r="P62" s="47">
        <v>46127</v>
      </c>
      <c r="Q62" s="46" t="s">
        <v>212</v>
      </c>
      <c r="R62" s="47"/>
      <c r="S62" s="46" t="str">
        <f t="shared" ca="1" si="5"/>
        <v/>
      </c>
      <c r="T62" s="52" t="str">
        <f t="shared" ca="1" si="6"/>
        <v>✅ À jour</v>
      </c>
    </row>
    <row r="63" spans="1:20" ht="15" customHeight="1">
      <c r="A63" s="49">
        <v>61</v>
      </c>
      <c r="B63" s="42" t="s">
        <v>194</v>
      </c>
      <c r="C63" s="42" t="s">
        <v>213</v>
      </c>
      <c r="D63" s="43">
        <v>40762</v>
      </c>
      <c r="E63" s="42">
        <f t="shared" ca="1" si="4"/>
        <v>14</v>
      </c>
      <c r="F63" s="42" t="s">
        <v>43</v>
      </c>
      <c r="G63" s="42" t="s">
        <v>74</v>
      </c>
      <c r="H63" s="42" t="s">
        <v>100</v>
      </c>
      <c r="I63" s="42" t="s">
        <v>46</v>
      </c>
      <c r="J63" s="42"/>
      <c r="K63" s="81" t="str">
        <f t="shared" ca="1" si="3"/>
        <v>U15</v>
      </c>
      <c r="L63" s="48">
        <v>1000</v>
      </c>
      <c r="M63" s="79"/>
      <c r="N63" s="59">
        <f>IF(AND(I63="Oui",J63="Oui"),(L63+M63)*(1-Paramètres!$D$20),L63+M63)</f>
        <v>1000</v>
      </c>
      <c r="O63" s="42" t="s">
        <v>60</v>
      </c>
      <c r="P63" s="43">
        <v>46122</v>
      </c>
      <c r="Q63" s="42" t="s">
        <v>65</v>
      </c>
      <c r="R63" s="44"/>
      <c r="S63" s="45" t="str">
        <f t="shared" ca="1" si="5"/>
        <v/>
      </c>
      <c r="T63" s="50" t="str">
        <f t="shared" ca="1" si="6"/>
        <v>⏳ Pas de date</v>
      </c>
    </row>
    <row r="64" spans="1:20" ht="15" customHeight="1">
      <c r="A64" s="51">
        <v>62</v>
      </c>
      <c r="B64" s="46" t="s">
        <v>214</v>
      </c>
      <c r="C64" s="46" t="s">
        <v>215</v>
      </c>
      <c r="D64" s="47">
        <v>44588</v>
      </c>
      <c r="E64" s="46">
        <f t="shared" ca="1" si="4"/>
        <v>4</v>
      </c>
      <c r="F64" s="46" t="s">
        <v>43</v>
      </c>
      <c r="G64" s="46" t="s">
        <v>216</v>
      </c>
      <c r="H64" s="46" t="s">
        <v>136</v>
      </c>
      <c r="I64" s="46" t="s">
        <v>46</v>
      </c>
      <c r="J64" s="46"/>
      <c r="K64" s="81" t="str">
        <f t="shared" ca="1" si="3"/>
        <v>U5</v>
      </c>
      <c r="L64" s="48">
        <v>1000</v>
      </c>
      <c r="M64" s="79"/>
      <c r="N64" s="59"/>
      <c r="O64" s="46" t="s">
        <v>60</v>
      </c>
      <c r="P64" s="47">
        <v>46117</v>
      </c>
      <c r="Q64" s="46"/>
      <c r="R64" s="47"/>
      <c r="S64" s="46" t="str">
        <f t="shared" ca="1" si="5"/>
        <v/>
      </c>
      <c r="T64" s="52" t="str">
        <f t="shared" ca="1" si="6"/>
        <v>⏳ Pas de date</v>
      </c>
    </row>
    <row r="65" spans="1:24" ht="15" customHeight="1">
      <c r="A65" s="49">
        <v>63</v>
      </c>
      <c r="B65" s="42" t="s">
        <v>217</v>
      </c>
      <c r="C65" s="42" t="s">
        <v>57</v>
      </c>
      <c r="D65" s="43">
        <v>40850</v>
      </c>
      <c r="E65" s="42">
        <f t="shared" ca="1" si="4"/>
        <v>14</v>
      </c>
      <c r="F65" s="42" t="s">
        <v>43</v>
      </c>
      <c r="G65" s="42" t="s">
        <v>218</v>
      </c>
      <c r="H65" s="42" t="s">
        <v>45</v>
      </c>
      <c r="I65" s="42" t="s">
        <v>46</v>
      </c>
      <c r="J65" s="42"/>
      <c r="K65" s="81" t="str">
        <f t="shared" ca="1" si="3"/>
        <v>U15</v>
      </c>
      <c r="L65" s="48">
        <v>2000</v>
      </c>
      <c r="M65" s="79"/>
      <c r="N65" s="59">
        <f>IF(AND(I65="Oui",J65="Oui"),(L65+M65)*(1-Paramètres!$D$20),L65+M65)</f>
        <v>2000</v>
      </c>
      <c r="O65" s="42" t="s">
        <v>48</v>
      </c>
      <c r="P65" s="43">
        <v>46127</v>
      </c>
      <c r="Q65" s="42" t="s">
        <v>104</v>
      </c>
      <c r="R65" s="44"/>
      <c r="S65" s="45" t="str">
        <f t="shared" ca="1" si="5"/>
        <v/>
      </c>
      <c r="T65" s="50" t="str">
        <f t="shared" ca="1" si="6"/>
        <v>✅ À jour</v>
      </c>
    </row>
    <row r="66" spans="1:24" ht="15" customHeight="1">
      <c r="A66" s="51">
        <v>64</v>
      </c>
      <c r="B66" s="46" t="s">
        <v>219</v>
      </c>
      <c r="C66" s="46" t="s">
        <v>220</v>
      </c>
      <c r="D66" s="47">
        <v>41017</v>
      </c>
      <c r="E66" s="46">
        <f t="shared" ca="1" si="4"/>
        <v>14</v>
      </c>
      <c r="F66" s="46" t="s">
        <v>43</v>
      </c>
      <c r="G66" s="46" t="s">
        <v>221</v>
      </c>
      <c r="H66" s="46" t="s">
        <v>222</v>
      </c>
      <c r="I66" s="46" t="s">
        <v>46</v>
      </c>
      <c r="J66" s="46"/>
      <c r="K66" s="81" t="str">
        <f t="shared" ca="1" si="3"/>
        <v>U15</v>
      </c>
      <c r="L66" s="48">
        <v>1000</v>
      </c>
      <c r="M66" s="79"/>
      <c r="N66" s="59">
        <f>IF(AND(I66="Oui",J66="Oui"),(L66+M66)*(1-Paramètres!$D$20),L66+M66)</f>
        <v>1000</v>
      </c>
      <c r="O66" s="46" t="s">
        <v>60</v>
      </c>
      <c r="P66" s="47">
        <v>46127</v>
      </c>
      <c r="Q66" s="46" t="s">
        <v>114</v>
      </c>
      <c r="R66" s="47"/>
      <c r="S66" s="46" t="str">
        <f t="shared" ca="1" si="5"/>
        <v/>
      </c>
      <c r="T66" s="52" t="str">
        <f t="shared" ca="1" si="6"/>
        <v>⏳ Pas de date</v>
      </c>
    </row>
    <row r="67" spans="1:24" ht="15" customHeight="1">
      <c r="A67" s="49">
        <v>65</v>
      </c>
      <c r="B67" s="42" t="s">
        <v>105</v>
      </c>
      <c r="C67" s="42" t="s">
        <v>134</v>
      </c>
      <c r="D67" s="43">
        <v>44918</v>
      </c>
      <c r="E67" s="42">
        <f t="shared" ref="E67:E98" ca="1" si="7">IF(D67="","",DATEDIF(D67,TODAY(),"Y"))</f>
        <v>3</v>
      </c>
      <c r="F67" s="42" t="s">
        <v>43</v>
      </c>
      <c r="G67" s="42" t="s">
        <v>223</v>
      </c>
      <c r="H67" s="42" t="s">
        <v>224</v>
      </c>
      <c r="I67" s="42" t="s">
        <v>46</v>
      </c>
      <c r="J67" s="42"/>
      <c r="K67" s="81" t="str">
        <f t="shared" ca="1" si="3"/>
        <v>U5</v>
      </c>
      <c r="L67" s="48">
        <v>1000</v>
      </c>
      <c r="M67" s="79"/>
      <c r="N67" s="59">
        <f>IF(AND(I67="Oui",J67="Oui"),(L67+M67)*(1-Paramètres!$D$20),L67+M67)</f>
        <v>1000</v>
      </c>
      <c r="O67" s="42" t="s">
        <v>60</v>
      </c>
      <c r="P67" s="43">
        <v>46117</v>
      </c>
      <c r="Q67" s="42" t="s">
        <v>104</v>
      </c>
      <c r="R67" s="44"/>
      <c r="S67" s="45" t="str">
        <f t="shared" ref="S67:S98" ca="1" si="8">IF(OR(B67="",R67="",O67="Payé"),"",MAX(0,TODAY()-R67))</f>
        <v/>
      </c>
      <c r="T67" s="50" t="str">
        <f t="shared" ref="T67:T98" ca="1" si="9">IF(B67="","",IF(O67="Payé","✅ À jour",IF(R67="","⏳ Pas de date",IF(TODAY()&gt;R67,"🔴 En retard",IF(R67-TODAY()&lt;=7,"🟡 Bientôt dû","🟢 Dans les temps")))))</f>
        <v>⏳ Pas de date</v>
      </c>
    </row>
    <row r="68" spans="1:24" ht="15" customHeight="1">
      <c r="A68" s="51">
        <v>66</v>
      </c>
      <c r="B68" s="46" t="s">
        <v>77</v>
      </c>
      <c r="C68" s="46" t="s">
        <v>225</v>
      </c>
      <c r="D68" s="47">
        <v>43466</v>
      </c>
      <c r="E68" s="46">
        <f t="shared" ca="1" si="7"/>
        <v>7</v>
      </c>
      <c r="F68" s="46" t="s">
        <v>43</v>
      </c>
      <c r="G68" s="46" t="s">
        <v>226</v>
      </c>
      <c r="H68" s="46" t="s">
        <v>136</v>
      </c>
      <c r="I68" s="46" t="s">
        <v>46</v>
      </c>
      <c r="J68" s="46"/>
      <c r="K68" s="81" t="str">
        <f t="shared" ca="1" si="3"/>
        <v>U9</v>
      </c>
      <c r="L68" s="48">
        <v>1000</v>
      </c>
      <c r="M68" s="79"/>
      <c r="N68" s="59">
        <f>IF(AND(I68="Oui",J68="Oui"),(L68+M68)*(1-Paramètres!$D$20),L68+M68)</f>
        <v>1000</v>
      </c>
      <c r="O68" s="46" t="s">
        <v>60</v>
      </c>
      <c r="P68" s="47">
        <v>46117</v>
      </c>
      <c r="Q68" s="46" t="s">
        <v>227</v>
      </c>
      <c r="R68" s="47"/>
      <c r="S68" s="46" t="str">
        <f t="shared" ca="1" si="8"/>
        <v/>
      </c>
      <c r="T68" s="52" t="str">
        <f t="shared" ca="1" si="9"/>
        <v>⏳ Pas de date</v>
      </c>
    </row>
    <row r="69" spans="1:24" ht="15" customHeight="1">
      <c r="A69" s="49">
        <v>67</v>
      </c>
      <c r="B69" s="42" t="s">
        <v>119</v>
      </c>
      <c r="C69" s="42" t="s">
        <v>228</v>
      </c>
      <c r="D69" s="43">
        <v>41935</v>
      </c>
      <c r="E69" s="42">
        <f t="shared" ca="1" si="7"/>
        <v>11</v>
      </c>
      <c r="F69" s="42" t="s">
        <v>43</v>
      </c>
      <c r="G69" s="42" t="s">
        <v>229</v>
      </c>
      <c r="H69" s="42" t="s">
        <v>45</v>
      </c>
      <c r="I69" s="42" t="s">
        <v>46</v>
      </c>
      <c r="J69" s="42"/>
      <c r="K69" s="81" t="str">
        <f t="shared" ca="1" si="3"/>
        <v>U13</v>
      </c>
      <c r="L69" s="48">
        <v>1000</v>
      </c>
      <c r="M69" s="79"/>
      <c r="N69" s="59">
        <f>IF(AND(I69="Oui",J69="Oui"),(L69+M69)*(1-Paramètres!$D$20),L69+M69)</f>
        <v>1000</v>
      </c>
      <c r="O69" s="42" t="s">
        <v>60</v>
      </c>
      <c r="P69" s="43">
        <v>46117</v>
      </c>
      <c r="Q69" s="42" t="s">
        <v>230</v>
      </c>
      <c r="R69" s="44"/>
      <c r="S69" s="45" t="str">
        <f t="shared" ca="1" si="8"/>
        <v/>
      </c>
      <c r="T69" s="50" t="str">
        <f t="shared" ca="1" si="9"/>
        <v>⏳ Pas de date</v>
      </c>
    </row>
    <row r="70" spans="1:24" ht="15" customHeight="1">
      <c r="A70" s="51">
        <v>68</v>
      </c>
      <c r="B70" s="46" t="s">
        <v>231</v>
      </c>
      <c r="C70" s="46" t="s">
        <v>232</v>
      </c>
      <c r="D70" s="47">
        <v>43864</v>
      </c>
      <c r="E70" s="46">
        <f t="shared" ca="1" si="7"/>
        <v>6</v>
      </c>
      <c r="F70" s="46" t="s">
        <v>43</v>
      </c>
      <c r="G70" s="46" t="s">
        <v>233</v>
      </c>
      <c r="H70" s="46" t="s">
        <v>188</v>
      </c>
      <c r="I70" s="46" t="s">
        <v>46</v>
      </c>
      <c r="J70" s="46"/>
      <c r="K70" s="81" t="str">
        <f t="shared" ca="1" si="3"/>
        <v>U7</v>
      </c>
      <c r="L70" s="48">
        <v>3000</v>
      </c>
      <c r="M70" s="79"/>
      <c r="N70" s="59">
        <f>IF(AND(I70="Oui",J70="Oui"),(L70+M70)*(1-Paramètres!$D$20),L70+M70)</f>
        <v>3000</v>
      </c>
      <c r="O70" s="46" t="s">
        <v>48</v>
      </c>
      <c r="P70" s="47">
        <v>46117</v>
      </c>
      <c r="Q70" s="46" t="s">
        <v>234</v>
      </c>
      <c r="R70" s="47"/>
      <c r="S70" s="46" t="str">
        <f t="shared" ca="1" si="8"/>
        <v/>
      </c>
      <c r="T70" s="52" t="str">
        <f t="shared" ca="1" si="9"/>
        <v>✅ À jour</v>
      </c>
    </row>
    <row r="71" spans="1:24" ht="15" customHeight="1">
      <c r="A71" s="49">
        <v>69</v>
      </c>
      <c r="B71" s="42" t="s">
        <v>235</v>
      </c>
      <c r="C71" s="42" t="s">
        <v>236</v>
      </c>
      <c r="D71" s="43">
        <v>44100</v>
      </c>
      <c r="E71" s="42">
        <f t="shared" ca="1" si="7"/>
        <v>5</v>
      </c>
      <c r="F71" s="42" t="s">
        <v>43</v>
      </c>
      <c r="G71" s="42" t="s">
        <v>237</v>
      </c>
      <c r="H71" s="42" t="s">
        <v>238</v>
      </c>
      <c r="I71" s="42" t="s">
        <v>46</v>
      </c>
      <c r="J71" s="42"/>
      <c r="K71" s="81" t="str">
        <f t="shared" ref="K71:K134" ca="1" si="10">IF(I71&lt;&gt;"Oui","",IF(E71="","",IF(E71&lt;5,"U5",IF(E71&lt;7,"U7",IF(E71&lt;9,"U9",IF(E71&lt;10,"U11",IF(F71="F",IF(E71&lt;12,"U12F","U15F"),IF(E71&lt;11,"U11",IF(E71&lt;13,"U13","U15")))))))))</f>
        <v>U7</v>
      </c>
      <c r="L71" s="48">
        <v>1000</v>
      </c>
      <c r="M71" s="79"/>
      <c r="N71" s="59">
        <f>IF(AND(I71="Oui",J71="Oui"),(L71+M71)*(1-Paramètres!$D$20),L71+M71)</f>
        <v>1000</v>
      </c>
      <c r="O71" s="42" t="s">
        <v>60</v>
      </c>
      <c r="P71" s="43">
        <v>46117</v>
      </c>
      <c r="Q71" s="74" t="s">
        <v>239</v>
      </c>
      <c r="R71" s="44"/>
      <c r="S71" s="45" t="str">
        <f t="shared" ca="1" si="8"/>
        <v/>
      </c>
      <c r="T71" s="50" t="str">
        <f t="shared" ca="1" si="9"/>
        <v>⏳ Pas de date</v>
      </c>
    </row>
    <row r="72" spans="1:24" ht="15" customHeight="1">
      <c r="A72" s="51">
        <v>70</v>
      </c>
      <c r="B72" s="46" t="s">
        <v>240</v>
      </c>
      <c r="C72" s="46" t="s">
        <v>241</v>
      </c>
      <c r="D72" s="47">
        <v>40543</v>
      </c>
      <c r="E72" s="46">
        <f t="shared" ca="1" si="7"/>
        <v>15</v>
      </c>
      <c r="F72" s="46" t="s">
        <v>43</v>
      </c>
      <c r="G72" s="46" t="s">
        <v>242</v>
      </c>
      <c r="H72" s="46" t="s">
        <v>136</v>
      </c>
      <c r="I72" s="46" t="s">
        <v>46</v>
      </c>
      <c r="J72" s="46"/>
      <c r="K72" s="81" t="str">
        <f t="shared" ca="1" si="10"/>
        <v>U15</v>
      </c>
      <c r="L72" s="48">
        <v>1000</v>
      </c>
      <c r="M72" s="79"/>
      <c r="N72" s="59">
        <f>IF(AND(I72="Oui",J72="Oui"),(L72+M72)*(1-Paramètres!$D$20),L72+M72)</f>
        <v>1000</v>
      </c>
      <c r="O72" s="46" t="s">
        <v>60</v>
      </c>
      <c r="P72" s="47">
        <v>46117</v>
      </c>
      <c r="Q72" s="46" t="s">
        <v>239</v>
      </c>
      <c r="R72" s="47"/>
      <c r="S72" s="46" t="str">
        <f t="shared" ca="1" si="8"/>
        <v/>
      </c>
      <c r="T72" s="52" t="str">
        <f t="shared" ca="1" si="9"/>
        <v>⏳ Pas de date</v>
      </c>
    </row>
    <row r="73" spans="1:24" ht="15" customHeight="1">
      <c r="A73" s="49">
        <v>71</v>
      </c>
      <c r="B73" s="42" t="s">
        <v>243</v>
      </c>
      <c r="C73" s="42" t="s">
        <v>244</v>
      </c>
      <c r="D73" s="43">
        <v>40946</v>
      </c>
      <c r="E73" s="42">
        <f t="shared" ca="1" si="7"/>
        <v>14</v>
      </c>
      <c r="F73" s="42" t="s">
        <v>43</v>
      </c>
      <c r="G73" s="42" t="s">
        <v>245</v>
      </c>
      <c r="H73" s="42" t="s">
        <v>59</v>
      </c>
      <c r="I73" s="42" t="s">
        <v>46</v>
      </c>
      <c r="J73" s="42"/>
      <c r="K73" s="81" t="str">
        <f t="shared" ca="1" si="10"/>
        <v>U15</v>
      </c>
      <c r="L73" s="48">
        <v>1000</v>
      </c>
      <c r="M73" s="79"/>
      <c r="N73" s="59">
        <f>IF(AND(I73="Oui",J73="Oui"),(L73+M73)*(1-Paramètres!$D$20),L73+M73)</f>
        <v>1000</v>
      </c>
      <c r="O73" s="42" t="s">
        <v>60</v>
      </c>
      <c r="P73" s="43">
        <v>46117</v>
      </c>
      <c r="Q73" s="42" t="s">
        <v>246</v>
      </c>
      <c r="R73" s="44"/>
      <c r="S73" s="45" t="str">
        <f t="shared" ca="1" si="8"/>
        <v/>
      </c>
      <c r="T73" s="50" t="str">
        <f t="shared" ca="1" si="9"/>
        <v>⏳ Pas de date</v>
      </c>
    </row>
    <row r="74" spans="1:24" ht="15" customHeight="1">
      <c r="A74" s="51">
        <v>72</v>
      </c>
      <c r="B74" s="46" t="s">
        <v>247</v>
      </c>
      <c r="C74" s="46" t="s">
        <v>248</v>
      </c>
      <c r="D74" s="47">
        <v>41380</v>
      </c>
      <c r="E74" s="46">
        <f t="shared" ca="1" si="7"/>
        <v>13</v>
      </c>
      <c r="F74" s="46" t="s">
        <v>43</v>
      </c>
      <c r="G74" s="46" t="s">
        <v>249</v>
      </c>
      <c r="H74" s="46" t="s">
        <v>113</v>
      </c>
      <c r="I74" s="46" t="s">
        <v>46</v>
      </c>
      <c r="J74" s="46"/>
      <c r="K74" s="81" t="str">
        <f t="shared" ca="1" si="10"/>
        <v>U15</v>
      </c>
      <c r="L74" s="48">
        <v>1000</v>
      </c>
      <c r="M74" s="79"/>
      <c r="N74" s="59">
        <f>IF(AND(I74="Oui",J74="Oui"),(L74+M74)*(1-Paramètres!$D$20),L74+M74)</f>
        <v>1000</v>
      </c>
      <c r="O74" s="46" t="s">
        <v>60</v>
      </c>
      <c r="P74" s="47"/>
      <c r="Q74" s="46" t="s">
        <v>250</v>
      </c>
      <c r="R74" s="47"/>
      <c r="S74" s="46" t="str">
        <f t="shared" ca="1" si="8"/>
        <v/>
      </c>
      <c r="T74" s="52" t="str">
        <f t="shared" ca="1" si="9"/>
        <v>⏳ Pas de date</v>
      </c>
    </row>
    <row r="75" spans="1:24" ht="15" customHeight="1">
      <c r="A75" s="49">
        <v>73</v>
      </c>
      <c r="B75" s="42" t="s">
        <v>51</v>
      </c>
      <c r="C75" s="42" t="s">
        <v>244</v>
      </c>
      <c r="D75" s="43">
        <v>43944</v>
      </c>
      <c r="E75" s="42">
        <f t="shared" ca="1" si="7"/>
        <v>6</v>
      </c>
      <c r="F75" s="42" t="s">
        <v>43</v>
      </c>
      <c r="G75" s="42" t="s">
        <v>251</v>
      </c>
      <c r="H75" s="42" t="s">
        <v>252</v>
      </c>
      <c r="I75" s="42" t="s">
        <v>46</v>
      </c>
      <c r="J75" s="42"/>
      <c r="K75" s="81" t="str">
        <f t="shared" ca="1" si="10"/>
        <v>U7</v>
      </c>
      <c r="L75" s="48">
        <v>2000</v>
      </c>
      <c r="M75" s="79"/>
      <c r="N75" s="59">
        <f>IF(AND(I75="Oui",J75="Oui"),(L75+M75)*(1-Paramètres!$D$20),L75+M75)</f>
        <v>2000</v>
      </c>
      <c r="O75" s="42" t="s">
        <v>48</v>
      </c>
      <c r="P75" s="43">
        <v>46129</v>
      </c>
      <c r="Q75" s="42" t="s">
        <v>246</v>
      </c>
      <c r="R75" s="44"/>
      <c r="S75" s="45" t="str">
        <f t="shared" ca="1" si="8"/>
        <v/>
      </c>
      <c r="T75" s="50" t="str">
        <f t="shared" ca="1" si="9"/>
        <v>✅ À jour</v>
      </c>
    </row>
    <row r="76" spans="1:24" ht="15" customHeight="1">
      <c r="A76" s="51">
        <v>74</v>
      </c>
      <c r="B76" s="42" t="s">
        <v>51</v>
      </c>
      <c r="C76" s="46" t="s">
        <v>253</v>
      </c>
      <c r="D76" s="47">
        <v>42976</v>
      </c>
      <c r="E76" s="46">
        <f t="shared" ca="1" si="7"/>
        <v>8</v>
      </c>
      <c r="F76" s="46" t="s">
        <v>43</v>
      </c>
      <c r="G76" s="42" t="s">
        <v>251</v>
      </c>
      <c r="H76" s="42" t="s">
        <v>252</v>
      </c>
      <c r="I76" s="46" t="s">
        <v>46</v>
      </c>
      <c r="J76" s="46"/>
      <c r="K76" s="81" t="str">
        <f t="shared" ca="1" si="10"/>
        <v>U9</v>
      </c>
      <c r="L76" s="48">
        <v>2000</v>
      </c>
      <c r="M76" s="79"/>
      <c r="N76" s="59">
        <f>IF(AND(I76="Oui",J76="Oui"),(L76+M76)*(1-Paramètres!$D$20),L76+M76)</f>
        <v>2000</v>
      </c>
      <c r="O76" s="46" t="s">
        <v>48</v>
      </c>
      <c r="P76" s="47">
        <v>46129</v>
      </c>
      <c r="Q76" s="46" t="s">
        <v>246</v>
      </c>
      <c r="R76" s="47"/>
      <c r="S76" s="46" t="str">
        <f t="shared" ca="1" si="8"/>
        <v/>
      </c>
      <c r="T76" s="52" t="str">
        <f t="shared" ca="1" si="9"/>
        <v>✅ À jour</v>
      </c>
    </row>
    <row r="77" spans="1:24" ht="15" customHeight="1">
      <c r="A77" s="49">
        <v>75</v>
      </c>
      <c r="B77" s="42" t="s">
        <v>77</v>
      </c>
      <c r="C77" s="42" t="s">
        <v>254</v>
      </c>
      <c r="D77" s="43">
        <v>43041</v>
      </c>
      <c r="E77" s="42">
        <f t="shared" ca="1" si="7"/>
        <v>8</v>
      </c>
      <c r="F77" s="42" t="s">
        <v>43</v>
      </c>
      <c r="G77" s="42" t="s">
        <v>255</v>
      </c>
      <c r="H77" s="42" t="s">
        <v>256</v>
      </c>
      <c r="I77" s="42" t="s">
        <v>46</v>
      </c>
      <c r="J77" s="42"/>
      <c r="K77" s="81" t="str">
        <f t="shared" ca="1" si="10"/>
        <v>U9</v>
      </c>
      <c r="L77" s="48">
        <v>2000</v>
      </c>
      <c r="M77" s="79"/>
      <c r="N77" s="59">
        <f>IF(AND(I77="Oui",J77="Oui"),(L77+M77)*(1-Paramètres!$D$20),L77+M77)</f>
        <v>2000</v>
      </c>
      <c r="O77" s="42" t="s">
        <v>48</v>
      </c>
      <c r="P77" s="43">
        <v>46130</v>
      </c>
      <c r="Q77" s="42" t="s">
        <v>239</v>
      </c>
      <c r="R77" s="44"/>
      <c r="S77" s="45" t="str">
        <f t="shared" ca="1" si="8"/>
        <v/>
      </c>
      <c r="T77" s="50" t="str">
        <f t="shared" ca="1" si="9"/>
        <v>✅ À jour</v>
      </c>
    </row>
    <row r="78" spans="1:24" ht="15" customHeight="1">
      <c r="A78" s="51">
        <v>76</v>
      </c>
      <c r="B78" s="46" t="s">
        <v>257</v>
      </c>
      <c r="C78" s="46" t="s">
        <v>57</v>
      </c>
      <c r="D78" s="47">
        <v>44345</v>
      </c>
      <c r="E78" s="46">
        <f t="shared" ca="1" si="7"/>
        <v>4</v>
      </c>
      <c r="F78" s="46" t="s">
        <v>43</v>
      </c>
      <c r="G78" s="46" t="s">
        <v>258</v>
      </c>
      <c r="H78" s="46" t="s">
        <v>59</v>
      </c>
      <c r="I78" s="46" t="s">
        <v>46</v>
      </c>
      <c r="J78" s="46"/>
      <c r="K78" s="81" t="str">
        <f t="shared" ca="1" si="10"/>
        <v>U5</v>
      </c>
      <c r="L78" s="48">
        <v>2600</v>
      </c>
      <c r="M78" s="79"/>
      <c r="N78" s="59"/>
      <c r="O78" s="46" t="s">
        <v>48</v>
      </c>
      <c r="P78" s="47">
        <v>46143</v>
      </c>
      <c r="Q78" s="46" t="s">
        <v>259</v>
      </c>
      <c r="R78" s="47"/>
      <c r="S78" s="46" t="str">
        <f t="shared" ca="1" si="8"/>
        <v/>
      </c>
      <c r="T78" s="52" t="str">
        <f t="shared" ca="1" si="9"/>
        <v>✅ À jour</v>
      </c>
      <c r="U78" t="s">
        <v>260</v>
      </c>
      <c r="X78" t="s">
        <v>261</v>
      </c>
    </row>
    <row r="79" spans="1:24" ht="15" customHeight="1">
      <c r="A79" s="49">
        <v>77</v>
      </c>
      <c r="B79" s="42" t="s">
        <v>262</v>
      </c>
      <c r="C79" s="42" t="s">
        <v>62</v>
      </c>
      <c r="D79" s="43">
        <v>40330</v>
      </c>
      <c r="E79" s="42">
        <f t="shared" ca="1" si="7"/>
        <v>15</v>
      </c>
      <c r="F79" s="42" t="s">
        <v>43</v>
      </c>
      <c r="G79" s="42" t="s">
        <v>263</v>
      </c>
      <c r="H79" s="42" t="s">
        <v>100</v>
      </c>
      <c r="I79" s="42" t="s">
        <v>46</v>
      </c>
      <c r="J79" s="42"/>
      <c r="K79" s="81" t="str">
        <f t="shared" ca="1" si="10"/>
        <v>U15</v>
      </c>
      <c r="L79" s="48"/>
      <c r="M79" s="79"/>
      <c r="N79" s="59">
        <v>1000</v>
      </c>
      <c r="O79" s="42" t="s">
        <v>60</v>
      </c>
      <c r="P79" s="43">
        <v>46143</v>
      </c>
      <c r="Q79" s="42"/>
      <c r="R79" s="44"/>
      <c r="S79" s="45" t="str">
        <f t="shared" ca="1" si="8"/>
        <v/>
      </c>
      <c r="T79" s="50" t="str">
        <f t="shared" ca="1" si="9"/>
        <v>⏳ Pas de date</v>
      </c>
    </row>
    <row r="80" spans="1:24" ht="15" customHeight="1">
      <c r="A80" s="51">
        <v>78</v>
      </c>
      <c r="B80" s="46" t="s">
        <v>105</v>
      </c>
      <c r="C80" s="46" t="s">
        <v>57</v>
      </c>
      <c r="D80" s="47">
        <v>42598</v>
      </c>
      <c r="E80" s="46">
        <f t="shared" ca="1" si="7"/>
        <v>9</v>
      </c>
      <c r="F80" s="46" t="s">
        <v>43</v>
      </c>
      <c r="G80" s="71" t="s">
        <v>95</v>
      </c>
      <c r="H80" s="46" t="s">
        <v>59</v>
      </c>
      <c r="I80" s="46" t="s">
        <v>46</v>
      </c>
      <c r="J80" s="46"/>
      <c r="K80" s="81" t="str">
        <f t="shared" ca="1" si="10"/>
        <v>U11</v>
      </c>
      <c r="L80" s="48">
        <v>1000</v>
      </c>
      <c r="M80" s="79"/>
      <c r="N80" s="59">
        <f>IF(AND(I80="Oui",J80="Oui"),(L80+M80)*(1-Paramètres!$D$20),L80+M80)</f>
        <v>1000</v>
      </c>
      <c r="O80" s="46" t="s">
        <v>60</v>
      </c>
      <c r="P80" s="47">
        <v>46117</v>
      </c>
      <c r="Q80" s="46" t="s">
        <v>264</v>
      </c>
      <c r="R80" s="47"/>
      <c r="S80" s="46" t="str">
        <f t="shared" ca="1" si="8"/>
        <v/>
      </c>
      <c r="T80" s="52" t="str">
        <f t="shared" ca="1" si="9"/>
        <v>⏳ Pas de date</v>
      </c>
    </row>
    <row r="81" spans="1:20" ht="15" customHeight="1">
      <c r="A81" s="49">
        <v>79</v>
      </c>
      <c r="B81" s="42" t="s">
        <v>162</v>
      </c>
      <c r="C81" s="42" t="s">
        <v>73</v>
      </c>
      <c r="D81" s="43">
        <v>41758</v>
      </c>
      <c r="E81" s="42">
        <f t="shared" ca="1" si="7"/>
        <v>12</v>
      </c>
      <c r="F81" s="42" t="s">
        <v>43</v>
      </c>
      <c r="G81" s="42" t="s">
        <v>265</v>
      </c>
      <c r="H81" s="42" t="s">
        <v>59</v>
      </c>
      <c r="I81" s="42" t="s">
        <v>46</v>
      </c>
      <c r="J81" s="42"/>
      <c r="K81" s="81" t="str">
        <f t="shared" ca="1" si="10"/>
        <v>U13</v>
      </c>
      <c r="L81" s="48">
        <v>1000</v>
      </c>
      <c r="M81" s="79"/>
      <c r="N81" s="59">
        <f>IF(AND(I81="Oui",J81="Oui"),(L81+M81)*(1-Paramètres!$D$20),L81+M81)</f>
        <v>1000</v>
      </c>
      <c r="O81" s="42" t="s">
        <v>60</v>
      </c>
      <c r="P81" s="43">
        <v>46117</v>
      </c>
      <c r="Q81" s="42"/>
      <c r="R81" s="44"/>
      <c r="S81" s="45" t="str">
        <f t="shared" ca="1" si="8"/>
        <v/>
      </c>
      <c r="T81" s="50" t="str">
        <f t="shared" ca="1" si="9"/>
        <v>⏳ Pas de date</v>
      </c>
    </row>
    <row r="82" spans="1:20" ht="15" customHeight="1">
      <c r="A82" s="51">
        <v>80</v>
      </c>
      <c r="B82" s="42" t="s">
        <v>162</v>
      </c>
      <c r="C82" s="46" t="s">
        <v>134</v>
      </c>
      <c r="D82" s="47">
        <v>42831</v>
      </c>
      <c r="E82" s="46">
        <f t="shared" ca="1" si="7"/>
        <v>9</v>
      </c>
      <c r="F82" s="46" t="s">
        <v>43</v>
      </c>
      <c r="G82" s="42" t="s">
        <v>265</v>
      </c>
      <c r="H82" s="46" t="s">
        <v>59</v>
      </c>
      <c r="I82" s="46" t="s">
        <v>46</v>
      </c>
      <c r="J82" s="46"/>
      <c r="K82" s="81" t="str">
        <f t="shared" ca="1" si="10"/>
        <v>U11</v>
      </c>
      <c r="L82" s="48">
        <v>1000</v>
      </c>
      <c r="M82" s="79"/>
      <c r="N82" s="59">
        <f>IF(AND(I82="Oui",J82="Oui"),(L82+M82)*(1-Paramètres!$D$20),L82+M82)</f>
        <v>1000</v>
      </c>
      <c r="O82" s="46" t="s">
        <v>60</v>
      </c>
      <c r="P82" s="47">
        <v>46117</v>
      </c>
      <c r="Q82" s="46"/>
      <c r="R82" s="47"/>
      <c r="S82" s="46" t="str">
        <f t="shared" ca="1" si="8"/>
        <v/>
      </c>
      <c r="T82" s="52" t="str">
        <f t="shared" ca="1" si="9"/>
        <v>⏳ Pas de date</v>
      </c>
    </row>
    <row r="83" spans="1:20" ht="15" customHeight="1">
      <c r="A83" s="49">
        <v>81</v>
      </c>
      <c r="B83" s="42" t="s">
        <v>266</v>
      </c>
      <c r="C83" s="42" t="s">
        <v>107</v>
      </c>
      <c r="D83" s="43">
        <v>41133</v>
      </c>
      <c r="E83" s="42">
        <f t="shared" ca="1" si="7"/>
        <v>13</v>
      </c>
      <c r="F83" s="42" t="s">
        <v>43</v>
      </c>
      <c r="G83" s="42" t="s">
        <v>267</v>
      </c>
      <c r="H83" s="42" t="s">
        <v>222</v>
      </c>
      <c r="I83" s="42" t="s">
        <v>46</v>
      </c>
      <c r="J83" s="42"/>
      <c r="K83" s="81" t="str">
        <f t="shared" ca="1" si="10"/>
        <v>U15</v>
      </c>
      <c r="L83" s="48">
        <v>1000</v>
      </c>
      <c r="M83" s="79"/>
      <c r="N83" s="59"/>
      <c r="O83" s="42" t="s">
        <v>60</v>
      </c>
      <c r="P83" s="43">
        <v>46143</v>
      </c>
      <c r="Q83" s="42"/>
      <c r="R83" s="44"/>
      <c r="S83" s="45" t="str">
        <f t="shared" ca="1" si="8"/>
        <v/>
      </c>
      <c r="T83" s="50" t="str">
        <f t="shared" ca="1" si="9"/>
        <v>⏳ Pas de date</v>
      </c>
    </row>
    <row r="84" spans="1:20" ht="15" customHeight="1">
      <c r="A84" s="51">
        <v>82</v>
      </c>
      <c r="B84" s="46" t="s">
        <v>56</v>
      </c>
      <c r="C84" s="46" t="s">
        <v>268</v>
      </c>
      <c r="D84" s="47">
        <v>42535</v>
      </c>
      <c r="E84" s="46">
        <f t="shared" ca="1" si="7"/>
        <v>9</v>
      </c>
      <c r="F84" s="46" t="s">
        <v>43</v>
      </c>
      <c r="G84" s="46" t="s">
        <v>269</v>
      </c>
      <c r="H84" s="46" t="s">
        <v>222</v>
      </c>
      <c r="I84" s="46" t="s">
        <v>46</v>
      </c>
      <c r="J84" s="46"/>
      <c r="K84" s="81" t="str">
        <f t="shared" ca="1" si="10"/>
        <v>U11</v>
      </c>
      <c r="L84" s="48">
        <v>1000</v>
      </c>
      <c r="M84" s="79"/>
      <c r="N84" s="59">
        <f>IF(AND(I84="Oui",J84="Oui"),(L84+M84)*(1-Paramètres!$D$20),L84+M84)</f>
        <v>1000</v>
      </c>
      <c r="O84" s="46" t="s">
        <v>60</v>
      </c>
      <c r="P84" s="47">
        <v>46117</v>
      </c>
      <c r="Q84" s="46" t="s">
        <v>270</v>
      </c>
      <c r="R84" s="47"/>
      <c r="S84" s="46" t="str">
        <f t="shared" ca="1" si="8"/>
        <v/>
      </c>
      <c r="T84" s="52" t="str">
        <f t="shared" ca="1" si="9"/>
        <v>⏳ Pas de date</v>
      </c>
    </row>
    <row r="85" spans="1:20" ht="15" customHeight="1">
      <c r="A85" s="49">
        <v>83</v>
      </c>
      <c r="B85" s="42" t="s">
        <v>271</v>
      </c>
      <c r="C85" s="42" t="s">
        <v>272</v>
      </c>
      <c r="D85" s="43">
        <v>40767</v>
      </c>
      <c r="E85" s="42">
        <f t="shared" ca="1" si="7"/>
        <v>14</v>
      </c>
      <c r="F85" s="42" t="s">
        <v>43</v>
      </c>
      <c r="G85" s="42" t="s">
        <v>273</v>
      </c>
      <c r="H85" s="42" t="s">
        <v>136</v>
      </c>
      <c r="I85" s="42" t="s">
        <v>46</v>
      </c>
      <c r="J85" s="42"/>
      <c r="K85" s="81" t="str">
        <f t="shared" ca="1" si="10"/>
        <v>U15</v>
      </c>
      <c r="L85" s="48">
        <v>1000</v>
      </c>
      <c r="M85" s="79"/>
      <c r="N85" s="59">
        <f>IF(AND(I85="Oui",J85="Oui"),(L85+M85)*(1-Paramètres!$D$20),L85+M85)</f>
        <v>1000</v>
      </c>
      <c r="O85" s="42" t="s">
        <v>60</v>
      </c>
      <c r="P85" s="43">
        <v>46120</v>
      </c>
      <c r="Q85" s="42" t="s">
        <v>114</v>
      </c>
      <c r="R85" s="44"/>
      <c r="S85" s="45" t="str">
        <f t="shared" ca="1" si="8"/>
        <v/>
      </c>
      <c r="T85" s="50" t="str">
        <f t="shared" ca="1" si="9"/>
        <v>⏳ Pas de date</v>
      </c>
    </row>
    <row r="86" spans="1:20" ht="15" customHeight="1">
      <c r="A86" s="51">
        <v>84</v>
      </c>
      <c r="B86" s="42" t="s">
        <v>274</v>
      </c>
      <c r="C86" s="46" t="s">
        <v>275</v>
      </c>
      <c r="D86" s="47">
        <v>41724</v>
      </c>
      <c r="E86" s="46">
        <f t="shared" ca="1" si="7"/>
        <v>12</v>
      </c>
      <c r="F86" s="46" t="s">
        <v>43</v>
      </c>
      <c r="G86" s="46" t="s">
        <v>269</v>
      </c>
      <c r="H86" s="46" t="s">
        <v>222</v>
      </c>
      <c r="I86" s="46" t="s">
        <v>46</v>
      </c>
      <c r="J86" s="46"/>
      <c r="K86" s="81" t="str">
        <f t="shared" ca="1" si="10"/>
        <v>U13</v>
      </c>
      <c r="L86" s="48">
        <v>1000</v>
      </c>
      <c r="M86" s="79"/>
      <c r="N86" s="59">
        <f>IF(AND(I86="Oui",J86="Oui"),(L86+M86)*(1-Paramètres!$D$20),L86+M86)</f>
        <v>1000</v>
      </c>
      <c r="O86" s="46" t="s">
        <v>60</v>
      </c>
      <c r="P86" s="47">
        <v>46117</v>
      </c>
      <c r="Q86" s="46" t="s">
        <v>276</v>
      </c>
      <c r="R86" s="47"/>
      <c r="S86" s="46" t="str">
        <f t="shared" ca="1" si="8"/>
        <v/>
      </c>
      <c r="T86" s="52" t="str">
        <f t="shared" ca="1" si="9"/>
        <v>⏳ Pas de date</v>
      </c>
    </row>
    <row r="87" spans="1:20" ht="15" customHeight="1">
      <c r="A87" s="49">
        <v>85</v>
      </c>
      <c r="B87" s="42" t="s">
        <v>277</v>
      </c>
      <c r="C87" s="42" t="s">
        <v>278</v>
      </c>
      <c r="D87" s="43">
        <v>41952</v>
      </c>
      <c r="E87" s="42">
        <f t="shared" ca="1" si="7"/>
        <v>11</v>
      </c>
      <c r="F87" s="42" t="s">
        <v>43</v>
      </c>
      <c r="G87" s="42" t="s">
        <v>269</v>
      </c>
      <c r="H87" s="42" t="s">
        <v>222</v>
      </c>
      <c r="I87" s="42" t="s">
        <v>46</v>
      </c>
      <c r="J87" s="42"/>
      <c r="K87" s="81" t="str">
        <f t="shared" ca="1" si="10"/>
        <v>U13</v>
      </c>
      <c r="L87" s="48">
        <v>1000</v>
      </c>
      <c r="M87" s="79"/>
      <c r="N87" s="59">
        <f>IF(AND(I87="Oui",J87="Oui"),(L87+M87)*(1-Paramètres!$D$20),L87+M87)</f>
        <v>1000</v>
      </c>
      <c r="O87" s="42" t="s">
        <v>60</v>
      </c>
      <c r="P87" s="43">
        <v>46117</v>
      </c>
      <c r="Q87" s="42"/>
      <c r="R87" s="44"/>
      <c r="S87" s="45" t="str">
        <f t="shared" ca="1" si="8"/>
        <v/>
      </c>
      <c r="T87" s="50" t="str">
        <f t="shared" ca="1" si="9"/>
        <v>⏳ Pas de date</v>
      </c>
    </row>
    <row r="88" spans="1:20" ht="15" customHeight="1">
      <c r="A88" s="51">
        <v>86</v>
      </c>
      <c r="B88" s="46" t="s">
        <v>66</v>
      </c>
      <c r="C88" s="46" t="s">
        <v>57</v>
      </c>
      <c r="D88" s="47">
        <v>44080</v>
      </c>
      <c r="E88" s="46">
        <f t="shared" ca="1" si="7"/>
        <v>5</v>
      </c>
      <c r="F88" s="46" t="s">
        <v>43</v>
      </c>
      <c r="G88" s="46" t="s">
        <v>279</v>
      </c>
      <c r="H88" s="46" t="s">
        <v>113</v>
      </c>
      <c r="I88" s="46" t="s">
        <v>46</v>
      </c>
      <c r="J88" s="46"/>
      <c r="K88" s="81" t="str">
        <f t="shared" ca="1" si="10"/>
        <v>U7</v>
      </c>
      <c r="L88" s="48">
        <v>1500</v>
      </c>
      <c r="M88" s="79"/>
      <c r="N88" s="59">
        <f>IF(AND(I88="Oui",J88="Oui"),(L88+M88)*(1-Paramètres!$D$20),L88+M88)</f>
        <v>1500</v>
      </c>
      <c r="O88" s="46" t="s">
        <v>48</v>
      </c>
      <c r="P88" s="47">
        <v>46134</v>
      </c>
      <c r="Q88" s="46" t="s">
        <v>280</v>
      </c>
      <c r="R88" s="47"/>
      <c r="S88" s="46" t="str">
        <f t="shared" ca="1" si="8"/>
        <v/>
      </c>
      <c r="T88" s="52" t="str">
        <f t="shared" ca="1" si="9"/>
        <v>✅ À jour</v>
      </c>
    </row>
    <row r="89" spans="1:20" ht="15" customHeight="1">
      <c r="A89" s="49">
        <v>87</v>
      </c>
      <c r="B89" s="42" t="s">
        <v>207</v>
      </c>
      <c r="C89" s="42" t="s">
        <v>244</v>
      </c>
      <c r="D89" s="43">
        <v>41684</v>
      </c>
      <c r="E89" s="42">
        <f t="shared" ca="1" si="7"/>
        <v>12</v>
      </c>
      <c r="F89" s="42" t="s">
        <v>43</v>
      </c>
      <c r="G89" s="42" t="s">
        <v>281</v>
      </c>
      <c r="H89" s="42" t="s">
        <v>188</v>
      </c>
      <c r="I89" s="42" t="s">
        <v>46</v>
      </c>
      <c r="J89" s="42"/>
      <c r="K89" s="81" t="str">
        <f t="shared" ca="1" si="10"/>
        <v>U13</v>
      </c>
      <c r="L89" s="48"/>
      <c r="M89" s="79"/>
      <c r="N89" s="59"/>
      <c r="O89" s="42" t="s">
        <v>90</v>
      </c>
      <c r="P89" s="43"/>
      <c r="Q89" s="42"/>
      <c r="R89" s="44"/>
      <c r="S89" s="45" t="str">
        <f t="shared" ca="1" si="8"/>
        <v/>
      </c>
      <c r="T89" s="50" t="str">
        <f t="shared" ca="1" si="9"/>
        <v>⏳ Pas de date</v>
      </c>
    </row>
    <row r="90" spans="1:20" ht="15" customHeight="1">
      <c r="A90" s="51">
        <v>88</v>
      </c>
      <c r="B90" s="46" t="s">
        <v>282</v>
      </c>
      <c r="C90" s="46" t="s">
        <v>199</v>
      </c>
      <c r="D90" s="47">
        <v>41304</v>
      </c>
      <c r="E90" s="46">
        <f t="shared" ca="1" si="7"/>
        <v>13</v>
      </c>
      <c r="F90" s="46" t="s">
        <v>43</v>
      </c>
      <c r="G90" s="46" t="s">
        <v>283</v>
      </c>
      <c r="H90" s="46" t="s">
        <v>284</v>
      </c>
      <c r="I90" s="46" t="s">
        <v>46</v>
      </c>
      <c r="J90" s="46"/>
      <c r="K90" s="81" t="str">
        <f t="shared" ca="1" si="10"/>
        <v>U15</v>
      </c>
      <c r="L90" s="48">
        <v>3500</v>
      </c>
      <c r="M90" s="79"/>
      <c r="N90" s="59">
        <f>IF(AND(I90="Oui",J90="Oui"),(L90+M90)*(1-Paramètres!$D$20),L90+M90)</f>
        <v>3500</v>
      </c>
      <c r="O90" s="46" t="s">
        <v>48</v>
      </c>
      <c r="P90" s="47">
        <v>46134</v>
      </c>
      <c r="Q90" s="46" t="s">
        <v>285</v>
      </c>
      <c r="R90" s="47"/>
      <c r="S90" s="46" t="str">
        <f t="shared" ca="1" si="8"/>
        <v/>
      </c>
      <c r="T90" s="52" t="str">
        <f t="shared" ca="1" si="9"/>
        <v>✅ À jour</v>
      </c>
    </row>
    <row r="91" spans="1:20" ht="15" customHeight="1">
      <c r="A91" s="49">
        <v>89</v>
      </c>
      <c r="B91" s="42" t="s">
        <v>282</v>
      </c>
      <c r="C91" s="42" t="s">
        <v>286</v>
      </c>
      <c r="D91" s="43">
        <v>40700</v>
      </c>
      <c r="E91" s="42">
        <f t="shared" ca="1" si="7"/>
        <v>14</v>
      </c>
      <c r="F91" s="42" t="s">
        <v>43</v>
      </c>
      <c r="G91" s="42" t="s">
        <v>283</v>
      </c>
      <c r="H91" s="42" t="s">
        <v>284</v>
      </c>
      <c r="I91" s="42" t="s">
        <v>46</v>
      </c>
      <c r="J91" s="42"/>
      <c r="K91" s="81" t="str">
        <f t="shared" ca="1" si="10"/>
        <v>U15</v>
      </c>
      <c r="L91" s="48">
        <v>3500</v>
      </c>
      <c r="M91" s="79"/>
      <c r="N91" s="59">
        <f>IF(AND(I91="Oui",J91="Oui"),(L91+M91)*(1-Paramètres!$D$20),L91+M91)</f>
        <v>3500</v>
      </c>
      <c r="O91" s="42" t="s">
        <v>48</v>
      </c>
      <c r="P91" s="43">
        <v>46134</v>
      </c>
      <c r="Q91" s="46" t="s">
        <v>285</v>
      </c>
      <c r="R91" s="44"/>
      <c r="S91" s="45" t="str">
        <f t="shared" ca="1" si="8"/>
        <v/>
      </c>
      <c r="T91" s="50" t="str">
        <f t="shared" ca="1" si="9"/>
        <v>✅ À jour</v>
      </c>
    </row>
    <row r="92" spans="1:20" ht="15" customHeight="1">
      <c r="A92" s="51">
        <v>90</v>
      </c>
      <c r="B92" s="46" t="s">
        <v>287</v>
      </c>
      <c r="C92" s="46" t="s">
        <v>98</v>
      </c>
      <c r="D92" s="47">
        <v>41035</v>
      </c>
      <c r="E92" s="46">
        <f t="shared" ca="1" si="7"/>
        <v>13</v>
      </c>
      <c r="F92" s="46" t="s">
        <v>43</v>
      </c>
      <c r="G92" s="46" t="s">
        <v>288</v>
      </c>
      <c r="H92" s="46" t="s">
        <v>100</v>
      </c>
      <c r="I92" s="46" t="s">
        <v>46</v>
      </c>
      <c r="J92" s="46"/>
      <c r="K92" s="81" t="str">
        <f t="shared" ca="1" si="10"/>
        <v>U15</v>
      </c>
      <c r="L92" s="48">
        <v>1500</v>
      </c>
      <c r="M92" s="79"/>
      <c r="N92" s="59">
        <f>IF(AND(I92="Oui",J92="Oui"),(L92+M92)*(1-Paramètres!$D$20),L92+M92)</f>
        <v>1500</v>
      </c>
      <c r="O92" s="46" t="s">
        <v>48</v>
      </c>
      <c r="P92" s="47">
        <v>46134</v>
      </c>
      <c r="Q92" s="46" t="s">
        <v>289</v>
      </c>
      <c r="R92" s="47"/>
      <c r="S92" s="46" t="str">
        <f t="shared" ca="1" si="8"/>
        <v/>
      </c>
      <c r="T92" s="52" t="str">
        <f t="shared" ca="1" si="9"/>
        <v>✅ À jour</v>
      </c>
    </row>
    <row r="93" spans="1:20" ht="15" customHeight="1">
      <c r="A93" s="49">
        <v>91</v>
      </c>
      <c r="B93" s="42" t="s">
        <v>287</v>
      </c>
      <c r="C93" s="42" t="s">
        <v>78</v>
      </c>
      <c r="D93" s="43">
        <v>41035</v>
      </c>
      <c r="E93" s="42">
        <f t="shared" ca="1" si="7"/>
        <v>13</v>
      </c>
      <c r="F93" s="42" t="s">
        <v>43</v>
      </c>
      <c r="G93" s="42" t="s">
        <v>288</v>
      </c>
      <c r="H93" s="42" t="s">
        <v>100</v>
      </c>
      <c r="I93" s="42" t="s">
        <v>46</v>
      </c>
      <c r="J93" s="42"/>
      <c r="K93" s="81" t="str">
        <f t="shared" ca="1" si="10"/>
        <v>U15</v>
      </c>
      <c r="L93" s="48">
        <v>1500</v>
      </c>
      <c r="M93" s="79"/>
      <c r="N93" s="59">
        <f>IF(AND(I93="Oui",J93="Oui"),(L93+M93)*(1-Paramètres!$D$20),L93+M93)</f>
        <v>1500</v>
      </c>
      <c r="O93" s="42" t="s">
        <v>48</v>
      </c>
      <c r="P93" s="43">
        <v>46134</v>
      </c>
      <c r="Q93" s="46" t="s">
        <v>290</v>
      </c>
      <c r="R93" s="44"/>
      <c r="S93" s="45" t="str">
        <f t="shared" ca="1" si="8"/>
        <v/>
      </c>
      <c r="T93" s="50" t="str">
        <f t="shared" ca="1" si="9"/>
        <v>✅ À jour</v>
      </c>
    </row>
    <row r="94" spans="1:20" ht="15" customHeight="1">
      <c r="A94" s="51">
        <v>92</v>
      </c>
      <c r="B94" s="46" t="s">
        <v>291</v>
      </c>
      <c r="C94" s="46" t="s">
        <v>292</v>
      </c>
      <c r="D94" s="47">
        <v>41762</v>
      </c>
      <c r="E94" s="46">
        <f t="shared" ca="1" si="7"/>
        <v>11</v>
      </c>
      <c r="F94" s="46" t="s">
        <v>43</v>
      </c>
      <c r="G94" s="46" t="s">
        <v>293</v>
      </c>
      <c r="H94" s="46" t="s">
        <v>136</v>
      </c>
      <c r="I94" s="46" t="s">
        <v>46</v>
      </c>
      <c r="J94" s="46"/>
      <c r="K94" s="81" t="str">
        <f t="shared" ca="1" si="10"/>
        <v>U13</v>
      </c>
      <c r="L94" s="48">
        <v>1000</v>
      </c>
      <c r="M94" s="79"/>
      <c r="N94" s="59">
        <f>IF(AND(I94="Oui",J94="Oui"),(L94+M94)*(1-Paramètres!$D$20),L94+M94)</f>
        <v>1000</v>
      </c>
      <c r="O94" s="46" t="s">
        <v>60</v>
      </c>
      <c r="P94" s="47">
        <v>46134</v>
      </c>
      <c r="Q94" s="46" t="s">
        <v>294</v>
      </c>
      <c r="R94" s="47"/>
      <c r="S94" s="46" t="str">
        <f t="shared" ca="1" si="8"/>
        <v/>
      </c>
      <c r="T94" s="52" t="str">
        <f t="shared" ca="1" si="9"/>
        <v>⏳ Pas de date</v>
      </c>
    </row>
    <row r="95" spans="1:20" ht="15" customHeight="1">
      <c r="A95" s="49">
        <v>93</v>
      </c>
      <c r="B95" s="42" t="s">
        <v>295</v>
      </c>
      <c r="C95" s="42" t="s">
        <v>144</v>
      </c>
      <c r="D95" s="43">
        <v>42645</v>
      </c>
      <c r="E95" s="42">
        <f t="shared" ca="1" si="7"/>
        <v>9</v>
      </c>
      <c r="F95" s="42" t="s">
        <v>43</v>
      </c>
      <c r="G95" s="42" t="s">
        <v>296</v>
      </c>
      <c r="H95" s="42" t="s">
        <v>143</v>
      </c>
      <c r="I95" s="42" t="s">
        <v>46</v>
      </c>
      <c r="J95" s="42"/>
      <c r="K95" s="81" t="str">
        <f t="shared" ca="1" si="10"/>
        <v>U11</v>
      </c>
      <c r="L95" s="48">
        <v>1500</v>
      </c>
      <c r="M95" s="79"/>
      <c r="N95" s="59">
        <f>IF(AND(I95="Oui",J95="Oui"),(L95+M95)*(1-Paramètres!$D$20),L95+M95)</f>
        <v>1500</v>
      </c>
      <c r="O95" s="42" t="s">
        <v>48</v>
      </c>
      <c r="P95" s="43">
        <v>46134</v>
      </c>
      <c r="Q95" s="42" t="s">
        <v>297</v>
      </c>
      <c r="R95" s="44"/>
      <c r="S95" s="45" t="str">
        <f t="shared" ca="1" si="8"/>
        <v/>
      </c>
      <c r="T95" s="50" t="str">
        <f t="shared" ca="1" si="9"/>
        <v>✅ À jour</v>
      </c>
    </row>
    <row r="96" spans="1:20" ht="15" customHeight="1">
      <c r="A96" s="51">
        <v>94</v>
      </c>
      <c r="B96" s="46" t="s">
        <v>298</v>
      </c>
      <c r="C96" s="46" t="s">
        <v>299</v>
      </c>
      <c r="D96" s="47">
        <v>42378</v>
      </c>
      <c r="E96" s="46">
        <f t="shared" ca="1" si="7"/>
        <v>10</v>
      </c>
      <c r="F96" s="46" t="s">
        <v>43</v>
      </c>
      <c r="G96" s="46" t="s">
        <v>300</v>
      </c>
      <c r="H96" s="46" t="s">
        <v>301</v>
      </c>
      <c r="I96" s="46" t="s">
        <v>46</v>
      </c>
      <c r="J96" s="46"/>
      <c r="K96" s="81" t="str">
        <f t="shared" ca="1" si="10"/>
        <v>U11</v>
      </c>
      <c r="L96" s="48">
        <v>1000</v>
      </c>
      <c r="M96" s="79"/>
      <c r="N96" s="59">
        <f>IF(AND(I96="Oui",J96="Oui"),(L96+M96)*(1-Paramètres!$D$20),L96+M96)</f>
        <v>1000</v>
      </c>
      <c r="O96" s="46" t="s">
        <v>60</v>
      </c>
      <c r="P96" s="47">
        <v>46127</v>
      </c>
      <c r="Q96" s="46" t="s">
        <v>294</v>
      </c>
      <c r="R96" s="47"/>
      <c r="S96" s="46" t="str">
        <f t="shared" ca="1" si="8"/>
        <v/>
      </c>
      <c r="T96" s="52" t="str">
        <f t="shared" ca="1" si="9"/>
        <v>⏳ Pas de date</v>
      </c>
    </row>
    <row r="97" spans="1:20" ht="15" customHeight="1">
      <c r="A97" s="49">
        <v>95</v>
      </c>
      <c r="B97" s="42" t="s">
        <v>302</v>
      </c>
      <c r="C97" s="42" t="s">
        <v>303</v>
      </c>
      <c r="D97" s="43">
        <v>42728</v>
      </c>
      <c r="E97" s="42">
        <f t="shared" ca="1" si="7"/>
        <v>9</v>
      </c>
      <c r="F97" s="42" t="s">
        <v>43</v>
      </c>
      <c r="G97" s="42" t="s">
        <v>304</v>
      </c>
      <c r="H97" s="42" t="s">
        <v>136</v>
      </c>
      <c r="I97" s="42" t="s">
        <v>46</v>
      </c>
      <c r="J97" s="42"/>
      <c r="K97" s="81" t="str">
        <f t="shared" ca="1" si="10"/>
        <v>U11</v>
      </c>
      <c r="L97" s="48">
        <v>1000</v>
      </c>
      <c r="M97" s="79"/>
      <c r="N97" s="59">
        <f>IF(AND(I97="Oui",J97="Oui"),(L97+M97)*(1-Paramètres!$D$20),L97+M97)</f>
        <v>1000</v>
      </c>
      <c r="O97" s="42" t="s">
        <v>60</v>
      </c>
      <c r="P97" s="43">
        <v>46127</v>
      </c>
      <c r="Q97" s="42" t="s">
        <v>180</v>
      </c>
      <c r="R97" s="44"/>
      <c r="S97" s="45" t="str">
        <f t="shared" ca="1" si="8"/>
        <v/>
      </c>
      <c r="T97" s="50" t="str">
        <f t="shared" ca="1" si="9"/>
        <v>⏳ Pas de date</v>
      </c>
    </row>
    <row r="98" spans="1:20" ht="15" customHeight="1">
      <c r="A98" s="51">
        <v>96</v>
      </c>
      <c r="B98" s="46" t="s">
        <v>87</v>
      </c>
      <c r="C98" s="46" t="s">
        <v>305</v>
      </c>
      <c r="D98" s="47">
        <v>41610</v>
      </c>
      <c r="E98" s="46">
        <f t="shared" ca="1" si="7"/>
        <v>12</v>
      </c>
      <c r="F98" s="46" t="s">
        <v>43</v>
      </c>
      <c r="G98" s="46" t="s">
        <v>89</v>
      </c>
      <c r="H98" s="46" t="s">
        <v>59</v>
      </c>
      <c r="I98" s="46" t="s">
        <v>46</v>
      </c>
      <c r="J98" s="46"/>
      <c r="K98" s="81" t="str">
        <f t="shared" ca="1" si="10"/>
        <v>U13</v>
      </c>
      <c r="L98" s="48"/>
      <c r="M98" s="79"/>
      <c r="N98" s="59"/>
      <c r="O98" s="46" t="s">
        <v>90</v>
      </c>
      <c r="P98" s="47">
        <v>46120</v>
      </c>
      <c r="Q98" s="46" t="s">
        <v>306</v>
      </c>
      <c r="R98" s="47"/>
      <c r="S98" s="46" t="str">
        <f t="shared" ca="1" si="8"/>
        <v/>
      </c>
      <c r="T98" s="52" t="str">
        <f t="shared" ca="1" si="9"/>
        <v>⏳ Pas de date</v>
      </c>
    </row>
    <row r="99" spans="1:20" ht="15" customHeight="1">
      <c r="A99" s="49">
        <v>97</v>
      </c>
      <c r="B99" s="42" t="s">
        <v>77</v>
      </c>
      <c r="C99" s="42" t="s">
        <v>307</v>
      </c>
      <c r="D99" s="43">
        <v>41960</v>
      </c>
      <c r="E99" s="42">
        <f ca="1">IF(D99="","",DATEDIF(D99,TODAY(),"Y"))</f>
        <v>11</v>
      </c>
      <c r="F99" s="42" t="s">
        <v>70</v>
      </c>
      <c r="G99" s="42" t="s">
        <v>308</v>
      </c>
      <c r="H99" s="42" t="s">
        <v>59</v>
      </c>
      <c r="I99" s="42" t="s">
        <v>46</v>
      </c>
      <c r="J99" s="42"/>
      <c r="K99" s="79" t="str">
        <f t="shared" ca="1" si="10"/>
        <v>U12F</v>
      </c>
      <c r="L99" s="48">
        <v>1400</v>
      </c>
      <c r="M99" s="79"/>
      <c r="N99" s="48"/>
      <c r="O99" s="42" t="s">
        <v>48</v>
      </c>
      <c r="P99" s="43">
        <v>46136</v>
      </c>
      <c r="Q99" s="42" t="s">
        <v>309</v>
      </c>
      <c r="R99" s="44"/>
      <c r="S99" s="45" t="str">
        <f t="shared" ref="S99:S130" ca="1" si="11">IF(OR(B99="",R99="",O99="Payé"),"",MAX(0,TODAY()-R99))</f>
        <v/>
      </c>
      <c r="T99" s="50" t="str">
        <f t="shared" ref="T99:T130" ca="1" si="12">IF(B99="","",IF(O99="Payé","✅ À jour",IF(R99="","⏳ Pas de date",IF(TODAY()&gt;R99,"🔴 En retard",IF(R99-TODAY()&lt;=7,"🟡 Bientôt dû","🟢 Dans les temps")))))</f>
        <v>✅ À jour</v>
      </c>
    </row>
    <row r="100" spans="1:20" ht="15" customHeight="1">
      <c r="A100" s="51">
        <v>98</v>
      </c>
      <c r="B100" s="46" t="s">
        <v>167</v>
      </c>
      <c r="C100" s="46" t="s">
        <v>310</v>
      </c>
      <c r="D100" s="47"/>
      <c r="E100" s="46" t="str">
        <f t="shared" ref="E99:E130" ca="1" si="13">IF(D100="","",DATEDIF(D100,TODAY(),"Y"))</f>
        <v/>
      </c>
      <c r="F100" s="46" t="s">
        <v>70</v>
      </c>
      <c r="G100" s="46" t="s">
        <v>311</v>
      </c>
      <c r="H100" s="46" t="s">
        <v>100</v>
      </c>
      <c r="I100" s="46" t="s">
        <v>46</v>
      </c>
      <c r="J100" s="46"/>
      <c r="K100" s="79" t="str">
        <f t="shared" ca="1" si="10"/>
        <v/>
      </c>
      <c r="L100" s="48"/>
      <c r="M100" s="79"/>
      <c r="N100" s="48"/>
      <c r="O100" s="46" t="s">
        <v>90</v>
      </c>
      <c r="P100" s="47"/>
      <c r="Q100" s="46"/>
      <c r="R100" s="47"/>
      <c r="S100" s="46" t="str">
        <f t="shared" ca="1" si="11"/>
        <v/>
      </c>
      <c r="T100" s="52" t="str">
        <f t="shared" ca="1" si="12"/>
        <v>⏳ Pas de date</v>
      </c>
    </row>
    <row r="101" spans="1:20" ht="15" customHeight="1">
      <c r="A101" s="49">
        <v>99</v>
      </c>
      <c r="B101" s="42" t="s">
        <v>167</v>
      </c>
      <c r="C101" s="42" t="s">
        <v>312</v>
      </c>
      <c r="D101" s="43">
        <v>41641</v>
      </c>
      <c r="E101" s="42">
        <f t="shared" ca="1" si="13"/>
        <v>12</v>
      </c>
      <c r="F101" s="42" t="s">
        <v>70</v>
      </c>
      <c r="G101" s="42" t="s">
        <v>313</v>
      </c>
      <c r="H101" s="42" t="s">
        <v>100</v>
      </c>
      <c r="I101" s="42" t="s">
        <v>46</v>
      </c>
      <c r="J101" s="42"/>
      <c r="K101" s="79" t="str">
        <f t="shared" ca="1" si="10"/>
        <v>U15F</v>
      </c>
      <c r="L101" s="48"/>
      <c r="M101" s="79"/>
      <c r="N101" s="48"/>
      <c r="O101" s="42" t="s">
        <v>90</v>
      </c>
      <c r="P101" s="43"/>
      <c r="Q101" s="42"/>
      <c r="R101" s="44"/>
      <c r="S101" s="45" t="str">
        <f t="shared" ca="1" si="11"/>
        <v/>
      </c>
      <c r="T101" s="50" t="str">
        <f t="shared" ca="1" si="12"/>
        <v>⏳ Pas de date</v>
      </c>
    </row>
    <row r="102" spans="1:20" ht="15" customHeight="1">
      <c r="A102" s="51">
        <v>100</v>
      </c>
      <c r="B102" s="46" t="s">
        <v>105</v>
      </c>
      <c r="C102" s="46" t="s">
        <v>203</v>
      </c>
      <c r="D102" s="47">
        <v>41711</v>
      </c>
      <c r="E102" s="46">
        <f t="shared" ca="1" si="13"/>
        <v>12</v>
      </c>
      <c r="F102" s="46" t="s">
        <v>70</v>
      </c>
      <c r="G102" s="46" t="s">
        <v>314</v>
      </c>
      <c r="H102" s="46" t="s">
        <v>59</v>
      </c>
      <c r="I102" s="46" t="s">
        <v>46</v>
      </c>
      <c r="J102" s="46"/>
      <c r="K102" s="79" t="str">
        <f t="shared" ca="1" si="10"/>
        <v>U15F</v>
      </c>
      <c r="L102" s="48">
        <v>1000</v>
      </c>
      <c r="M102" s="79"/>
      <c r="N102" s="48"/>
      <c r="O102" s="46" t="s">
        <v>60</v>
      </c>
      <c r="P102" s="47">
        <v>46136</v>
      </c>
      <c r="Q102" s="46" t="s">
        <v>315</v>
      </c>
      <c r="R102" s="47"/>
      <c r="S102" s="46" t="str">
        <f t="shared" ca="1" si="11"/>
        <v/>
      </c>
      <c r="T102" s="52" t="str">
        <f t="shared" ca="1" si="12"/>
        <v>⏳ Pas de date</v>
      </c>
    </row>
    <row r="103" spans="1:20" ht="15" customHeight="1">
      <c r="A103" s="49">
        <v>101</v>
      </c>
      <c r="B103" s="42" t="s">
        <v>105</v>
      </c>
      <c r="C103" s="42" t="s">
        <v>316</v>
      </c>
      <c r="D103" s="43">
        <v>42805</v>
      </c>
      <c r="E103" s="42">
        <f t="shared" ca="1" si="13"/>
        <v>9</v>
      </c>
      <c r="F103" s="42" t="s">
        <v>70</v>
      </c>
      <c r="G103" s="46" t="s">
        <v>314</v>
      </c>
      <c r="H103" s="42" t="s">
        <v>59</v>
      </c>
      <c r="I103" s="42" t="s">
        <v>46</v>
      </c>
      <c r="J103" s="42"/>
      <c r="K103" s="79" t="str">
        <f t="shared" ca="1" si="10"/>
        <v>U11</v>
      </c>
      <c r="L103" s="48">
        <v>1000</v>
      </c>
      <c r="M103" s="79"/>
      <c r="N103" s="48"/>
      <c r="O103" s="42" t="s">
        <v>60</v>
      </c>
      <c r="P103" s="43">
        <v>46136</v>
      </c>
      <c r="Q103" s="42" t="s">
        <v>317</v>
      </c>
      <c r="R103" s="44"/>
      <c r="S103" s="45" t="str">
        <f t="shared" ca="1" si="11"/>
        <v/>
      </c>
      <c r="T103" s="50" t="str">
        <f t="shared" ca="1" si="12"/>
        <v>⏳ Pas de date</v>
      </c>
    </row>
    <row r="104" spans="1:20" ht="15" customHeight="1">
      <c r="A104" s="51">
        <v>102</v>
      </c>
      <c r="B104" s="46" t="s">
        <v>51</v>
      </c>
      <c r="C104" s="46" t="s">
        <v>318</v>
      </c>
      <c r="D104" s="47">
        <v>41242</v>
      </c>
      <c r="E104" s="46">
        <f t="shared" ca="1" si="13"/>
        <v>13</v>
      </c>
      <c r="F104" s="46" t="s">
        <v>43</v>
      </c>
      <c r="G104" s="46" t="s">
        <v>319</v>
      </c>
      <c r="H104" s="46"/>
      <c r="I104" s="46"/>
      <c r="J104" s="46"/>
      <c r="K104" s="79" t="str">
        <f t="shared" si="10"/>
        <v/>
      </c>
      <c r="L104" s="48"/>
      <c r="M104" s="79"/>
      <c r="N104" s="48"/>
      <c r="O104" s="46"/>
      <c r="P104" s="47"/>
      <c r="Q104" s="46"/>
      <c r="R104" s="47"/>
      <c r="S104" s="46" t="str">
        <f t="shared" ca="1" si="11"/>
        <v/>
      </c>
      <c r="T104" s="52" t="str">
        <f t="shared" ca="1" si="12"/>
        <v>⏳ Pas de date</v>
      </c>
    </row>
    <row r="105" spans="1:20" ht="15" customHeight="1">
      <c r="A105" s="49">
        <v>103</v>
      </c>
      <c r="B105" s="42" t="s">
        <v>51</v>
      </c>
      <c r="C105" s="42" t="s">
        <v>320</v>
      </c>
      <c r="D105" s="43">
        <v>42724</v>
      </c>
      <c r="E105" s="42">
        <f t="shared" ca="1" si="13"/>
        <v>9</v>
      </c>
      <c r="F105" s="42" t="s">
        <v>43</v>
      </c>
      <c r="G105" s="42" t="s">
        <v>321</v>
      </c>
      <c r="H105" s="42" t="s">
        <v>85</v>
      </c>
      <c r="I105" s="42" t="s">
        <v>46</v>
      </c>
      <c r="J105" s="42"/>
      <c r="K105" s="79" t="str">
        <f t="shared" ca="1" si="10"/>
        <v>U11</v>
      </c>
      <c r="L105" s="48">
        <v>1300</v>
      </c>
      <c r="M105" s="79"/>
      <c r="N105" s="48"/>
      <c r="O105" s="42"/>
      <c r="P105" s="43"/>
      <c r="Q105" s="42"/>
      <c r="R105" s="44"/>
      <c r="S105" s="45" t="str">
        <f t="shared" ca="1" si="11"/>
        <v/>
      </c>
      <c r="T105" s="50" t="str">
        <f t="shared" ca="1" si="12"/>
        <v>⏳ Pas de date</v>
      </c>
    </row>
    <row r="106" spans="1:20" ht="15" customHeight="1">
      <c r="A106" s="51">
        <v>104</v>
      </c>
      <c r="B106" s="46" t="s">
        <v>322</v>
      </c>
      <c r="C106" s="46" t="s">
        <v>78</v>
      </c>
      <c r="D106" s="47">
        <v>41274</v>
      </c>
      <c r="E106" s="46">
        <f ca="1">IF(D106="","",DATEDIF(D106,TODAY(),"Y"))</f>
        <v>13</v>
      </c>
      <c r="F106" s="46" t="s">
        <v>43</v>
      </c>
      <c r="G106" s="46" t="s">
        <v>323</v>
      </c>
      <c r="H106" s="46" t="s">
        <v>59</v>
      </c>
      <c r="I106" s="46" t="s">
        <v>46</v>
      </c>
      <c r="J106" s="46"/>
      <c r="K106" s="79" t="str">
        <f t="shared" ca="1" si="10"/>
        <v>U15</v>
      </c>
      <c r="L106" s="48">
        <v>2000</v>
      </c>
      <c r="M106" s="79"/>
      <c r="N106" s="48"/>
      <c r="O106" s="46" t="s">
        <v>48</v>
      </c>
      <c r="P106" s="47"/>
      <c r="Q106" s="46" t="s">
        <v>324</v>
      </c>
      <c r="R106" s="47"/>
      <c r="S106" s="46" t="str">
        <f t="shared" ca="1" si="11"/>
        <v/>
      </c>
      <c r="T106" s="52" t="str">
        <f t="shared" ca="1" si="12"/>
        <v>✅ À jour</v>
      </c>
    </row>
    <row r="107" spans="1:20" ht="15" customHeight="1">
      <c r="A107" s="49">
        <v>105</v>
      </c>
      <c r="B107" s="42" t="s">
        <v>322</v>
      </c>
      <c r="C107" s="42" t="s">
        <v>325</v>
      </c>
      <c r="D107" s="43">
        <v>42706</v>
      </c>
      <c r="E107" s="42">
        <f t="shared" ca="1" si="13"/>
        <v>9</v>
      </c>
      <c r="F107" s="42" t="s">
        <v>43</v>
      </c>
      <c r="G107" s="46" t="s">
        <v>323</v>
      </c>
      <c r="H107" s="42" t="s">
        <v>59</v>
      </c>
      <c r="I107" s="42" t="s">
        <v>46</v>
      </c>
      <c r="J107" s="42"/>
      <c r="K107" s="79" t="str">
        <f t="shared" ca="1" si="10"/>
        <v>U11</v>
      </c>
      <c r="L107" s="48">
        <v>2000</v>
      </c>
      <c r="M107" s="79"/>
      <c r="N107" s="48"/>
      <c r="O107" s="42" t="s">
        <v>48</v>
      </c>
      <c r="P107" s="43"/>
      <c r="Q107" s="42" t="s">
        <v>324</v>
      </c>
      <c r="R107" s="44"/>
      <c r="S107" s="45" t="str">
        <f t="shared" ca="1" si="11"/>
        <v/>
      </c>
      <c r="T107" s="50" t="str">
        <f t="shared" ca="1" si="12"/>
        <v>✅ À jour</v>
      </c>
    </row>
    <row r="108" spans="1:20" ht="15" customHeight="1">
      <c r="A108" s="51">
        <v>106</v>
      </c>
      <c r="B108" s="46" t="s">
        <v>326</v>
      </c>
      <c r="C108" s="46" t="s">
        <v>57</v>
      </c>
      <c r="D108" s="47">
        <v>42802</v>
      </c>
      <c r="E108" s="46">
        <f t="shared" ca="1" si="13"/>
        <v>9</v>
      </c>
      <c r="F108" s="46" t="s">
        <v>43</v>
      </c>
      <c r="G108" s="46" t="s">
        <v>67</v>
      </c>
      <c r="H108" s="46" t="s">
        <v>59</v>
      </c>
      <c r="I108" s="46" t="s">
        <v>46</v>
      </c>
      <c r="J108" s="46"/>
      <c r="K108" s="79" t="str">
        <f t="shared" ca="1" si="10"/>
        <v>U11</v>
      </c>
      <c r="L108" s="48">
        <v>1000</v>
      </c>
      <c r="M108" s="79"/>
      <c r="N108" s="48"/>
      <c r="O108" s="46" t="s">
        <v>60</v>
      </c>
      <c r="P108" s="47">
        <v>46122</v>
      </c>
      <c r="Q108" s="46" t="s">
        <v>327</v>
      </c>
      <c r="R108" s="47"/>
      <c r="S108" s="46" t="str">
        <f t="shared" ca="1" si="11"/>
        <v/>
      </c>
      <c r="T108" s="52" t="str">
        <f t="shared" ca="1" si="12"/>
        <v>⏳ Pas de date</v>
      </c>
    </row>
    <row r="109" spans="1:20" ht="15" customHeight="1">
      <c r="A109" s="49">
        <v>107</v>
      </c>
      <c r="B109" s="42" t="s">
        <v>326</v>
      </c>
      <c r="C109" s="42" t="s">
        <v>68</v>
      </c>
      <c r="D109" s="43">
        <v>43340</v>
      </c>
      <c r="E109" s="42">
        <f t="shared" ca="1" si="13"/>
        <v>7</v>
      </c>
      <c r="F109" s="42" t="s">
        <v>43</v>
      </c>
      <c r="G109" s="42" t="s">
        <v>67</v>
      </c>
      <c r="H109" s="42" t="s">
        <v>59</v>
      </c>
      <c r="I109" s="42" t="s">
        <v>46</v>
      </c>
      <c r="J109" s="42"/>
      <c r="K109" s="79" t="str">
        <f t="shared" ca="1" si="10"/>
        <v>U9</v>
      </c>
      <c r="L109" s="48">
        <v>1000</v>
      </c>
      <c r="M109" s="79"/>
      <c r="N109" s="48"/>
      <c r="O109" s="42" t="s">
        <v>60</v>
      </c>
      <c r="P109" s="43">
        <v>46122</v>
      </c>
      <c r="Q109" s="42" t="s">
        <v>55</v>
      </c>
      <c r="R109" s="44"/>
      <c r="S109" s="45" t="str">
        <f t="shared" ca="1" si="11"/>
        <v/>
      </c>
      <c r="T109" s="50" t="str">
        <f t="shared" ca="1" si="12"/>
        <v>⏳ Pas de date</v>
      </c>
    </row>
    <row r="110" spans="1:20" ht="15" customHeight="1">
      <c r="A110" s="51">
        <v>108</v>
      </c>
      <c r="B110" s="46" t="s">
        <v>162</v>
      </c>
      <c r="C110" s="46" t="s">
        <v>57</v>
      </c>
      <c r="D110" s="47">
        <v>41920</v>
      </c>
      <c r="E110" s="46">
        <f t="shared" ca="1" si="13"/>
        <v>11</v>
      </c>
      <c r="F110" s="46" t="s">
        <v>43</v>
      </c>
      <c r="G110" s="46" t="s">
        <v>328</v>
      </c>
      <c r="H110" s="46" t="s">
        <v>222</v>
      </c>
      <c r="I110" s="46" t="s">
        <v>46</v>
      </c>
      <c r="J110" s="46"/>
      <c r="K110" s="79" t="str">
        <f t="shared" ca="1" si="10"/>
        <v>U13</v>
      </c>
      <c r="L110" s="48">
        <v>2000</v>
      </c>
      <c r="M110" s="79"/>
      <c r="N110" s="48"/>
      <c r="O110" s="46" t="s">
        <v>48</v>
      </c>
      <c r="P110" s="47">
        <v>46130</v>
      </c>
      <c r="Q110" s="46" t="s">
        <v>180</v>
      </c>
      <c r="R110" s="47"/>
      <c r="S110" s="46" t="str">
        <f t="shared" ca="1" si="11"/>
        <v/>
      </c>
      <c r="T110" s="52" t="str">
        <f t="shared" ca="1" si="12"/>
        <v>✅ À jour</v>
      </c>
    </row>
    <row r="111" spans="1:20" ht="15" customHeight="1">
      <c r="A111" s="49">
        <v>109</v>
      </c>
      <c r="B111" s="42" t="s">
        <v>329</v>
      </c>
      <c r="C111" s="42" t="s">
        <v>330</v>
      </c>
      <c r="D111" s="43"/>
      <c r="E111" s="42" t="str">
        <f t="shared" ca="1" si="13"/>
        <v/>
      </c>
      <c r="F111" s="42" t="s">
        <v>43</v>
      </c>
      <c r="G111" s="42" t="s">
        <v>331</v>
      </c>
      <c r="H111" s="42"/>
      <c r="I111" s="42" t="s">
        <v>46</v>
      </c>
      <c r="J111" s="42"/>
      <c r="K111" s="79" t="str">
        <f t="shared" ca="1" si="10"/>
        <v/>
      </c>
      <c r="L111" s="48">
        <v>2000</v>
      </c>
      <c r="M111" s="79"/>
      <c r="N111" s="48"/>
      <c r="O111" s="42" t="s">
        <v>48</v>
      </c>
      <c r="P111" s="43">
        <v>46117</v>
      </c>
      <c r="Q111" s="42" t="s">
        <v>332</v>
      </c>
      <c r="R111" s="44"/>
      <c r="S111" s="45" t="str">
        <f t="shared" ca="1" si="11"/>
        <v/>
      </c>
      <c r="T111" s="50" t="str">
        <f t="shared" ca="1" si="12"/>
        <v>✅ À jour</v>
      </c>
    </row>
    <row r="112" spans="1:20" ht="15" customHeight="1">
      <c r="A112" s="51">
        <v>110</v>
      </c>
      <c r="B112" s="46" t="s">
        <v>329</v>
      </c>
      <c r="C112" s="46" t="s">
        <v>333</v>
      </c>
      <c r="D112" s="47"/>
      <c r="E112" s="46" t="str">
        <f t="shared" ca="1" si="13"/>
        <v/>
      </c>
      <c r="F112" s="46" t="s">
        <v>43</v>
      </c>
      <c r="G112" s="46" t="s">
        <v>331</v>
      </c>
      <c r="H112" s="46"/>
      <c r="I112" s="46" t="s">
        <v>46</v>
      </c>
      <c r="J112" s="46"/>
      <c r="K112" s="79" t="str">
        <f t="shared" ca="1" si="10"/>
        <v/>
      </c>
      <c r="L112" s="48">
        <v>2000</v>
      </c>
      <c r="M112" s="79"/>
      <c r="N112" s="48"/>
      <c r="O112" s="46" t="s">
        <v>48</v>
      </c>
      <c r="P112" s="47">
        <v>46117</v>
      </c>
      <c r="Q112" s="46" t="s">
        <v>334</v>
      </c>
      <c r="R112" s="47"/>
      <c r="S112" s="46" t="str">
        <f t="shared" ca="1" si="11"/>
        <v/>
      </c>
      <c r="T112" s="52" t="str">
        <f t="shared" ca="1" si="12"/>
        <v>✅ À jour</v>
      </c>
    </row>
    <row r="113" spans="1:21" ht="15" customHeight="1">
      <c r="A113" s="49">
        <v>111</v>
      </c>
      <c r="B113" s="42" t="s">
        <v>335</v>
      </c>
      <c r="C113" s="42" t="s">
        <v>336</v>
      </c>
      <c r="D113" s="43">
        <v>44114</v>
      </c>
      <c r="E113" s="42">
        <f t="shared" ca="1" si="13"/>
        <v>5</v>
      </c>
      <c r="F113" s="42" t="s">
        <v>43</v>
      </c>
      <c r="G113" s="42" t="s">
        <v>337</v>
      </c>
      <c r="H113" s="42" t="s">
        <v>222</v>
      </c>
      <c r="I113" s="42" t="s">
        <v>46</v>
      </c>
      <c r="J113" s="42"/>
      <c r="K113" s="79" t="str">
        <f t="shared" ca="1" si="10"/>
        <v>U7</v>
      </c>
      <c r="L113" s="48">
        <v>2000</v>
      </c>
      <c r="M113" s="79"/>
      <c r="N113" s="48"/>
      <c r="O113" s="42" t="s">
        <v>48</v>
      </c>
      <c r="P113" s="43">
        <v>46140</v>
      </c>
      <c r="Q113" s="42" t="s">
        <v>338</v>
      </c>
      <c r="R113" s="44"/>
      <c r="S113" s="45" t="str">
        <f t="shared" ca="1" si="11"/>
        <v/>
      </c>
      <c r="T113" s="50" t="str">
        <f t="shared" ca="1" si="12"/>
        <v>✅ À jour</v>
      </c>
    </row>
    <row r="114" spans="1:21" ht="15" customHeight="1">
      <c r="A114" s="51">
        <v>112</v>
      </c>
      <c r="B114" s="46" t="s">
        <v>77</v>
      </c>
      <c r="C114" s="46" t="s">
        <v>339</v>
      </c>
      <c r="D114" s="47">
        <v>42960</v>
      </c>
      <c r="E114" s="46">
        <f t="shared" ca="1" si="13"/>
        <v>8</v>
      </c>
      <c r="F114" s="46" t="s">
        <v>43</v>
      </c>
      <c r="G114" s="46" t="s">
        <v>340</v>
      </c>
      <c r="H114" s="46" t="s">
        <v>59</v>
      </c>
      <c r="I114" s="46" t="s">
        <v>46</v>
      </c>
      <c r="J114" s="46"/>
      <c r="K114" s="79" t="str">
        <f t="shared" ca="1" si="10"/>
        <v>U9</v>
      </c>
      <c r="L114" s="48">
        <v>1000</v>
      </c>
      <c r="M114" s="79"/>
      <c r="N114" s="48"/>
      <c r="O114" s="46" t="s">
        <v>48</v>
      </c>
      <c r="P114" s="47">
        <v>46143</v>
      </c>
      <c r="Q114" s="46" t="s">
        <v>227</v>
      </c>
      <c r="R114" s="47"/>
      <c r="S114" s="46" t="str">
        <f t="shared" ca="1" si="11"/>
        <v/>
      </c>
      <c r="T114" s="52" t="str">
        <f t="shared" ca="1" si="12"/>
        <v>✅ À jour</v>
      </c>
    </row>
    <row r="115" spans="1:21" ht="15" customHeight="1">
      <c r="A115" s="49">
        <v>113</v>
      </c>
      <c r="B115" s="42" t="s">
        <v>119</v>
      </c>
      <c r="C115" s="42" t="s">
        <v>341</v>
      </c>
      <c r="D115" s="43">
        <v>43903</v>
      </c>
      <c r="E115" s="42">
        <f t="shared" ca="1" si="13"/>
        <v>6</v>
      </c>
      <c r="F115" s="42" t="s">
        <v>43</v>
      </c>
      <c r="G115" s="42" t="s">
        <v>340</v>
      </c>
      <c r="H115" s="42" t="s">
        <v>59</v>
      </c>
      <c r="I115" s="42" t="s">
        <v>46</v>
      </c>
      <c r="J115" s="42"/>
      <c r="K115" s="79" t="str">
        <f t="shared" ca="1" si="10"/>
        <v>U7</v>
      </c>
      <c r="L115" s="48">
        <v>1000</v>
      </c>
      <c r="M115" s="79"/>
      <c r="N115" s="48"/>
      <c r="O115" s="42" t="s">
        <v>48</v>
      </c>
      <c r="P115" s="43">
        <v>46143</v>
      </c>
      <c r="Q115" s="42" t="s">
        <v>227</v>
      </c>
      <c r="R115" s="44"/>
      <c r="S115" s="45" t="str">
        <f t="shared" ca="1" si="11"/>
        <v/>
      </c>
      <c r="T115" s="50" t="str">
        <f t="shared" ca="1" si="12"/>
        <v>✅ À jour</v>
      </c>
    </row>
    <row r="116" spans="1:21" ht="15" customHeight="1">
      <c r="A116" s="51">
        <v>114</v>
      </c>
      <c r="B116" s="46" t="s">
        <v>133</v>
      </c>
      <c r="C116" s="46" t="s">
        <v>342</v>
      </c>
      <c r="D116" s="47">
        <v>42110</v>
      </c>
      <c r="E116" s="46">
        <f t="shared" ca="1" si="13"/>
        <v>11</v>
      </c>
      <c r="F116" s="46" t="s">
        <v>70</v>
      </c>
      <c r="G116" s="82" t="s">
        <v>343</v>
      </c>
      <c r="H116" s="46" t="s">
        <v>222</v>
      </c>
      <c r="I116" s="46" t="s">
        <v>46</v>
      </c>
      <c r="J116" s="46"/>
      <c r="K116" s="79" t="str">
        <f t="shared" ca="1" si="10"/>
        <v>U12F</v>
      </c>
      <c r="L116" s="48">
        <v>1600</v>
      </c>
      <c r="M116" s="79"/>
      <c r="N116" s="48"/>
      <c r="O116" s="46" t="s">
        <v>48</v>
      </c>
      <c r="P116" s="47">
        <v>46141</v>
      </c>
      <c r="Q116" s="46" t="s">
        <v>344</v>
      </c>
      <c r="R116" s="47"/>
      <c r="S116" s="46" t="str">
        <f t="shared" ca="1" si="11"/>
        <v/>
      </c>
      <c r="T116" s="52" t="str">
        <f t="shared" ca="1" si="12"/>
        <v>✅ À jour</v>
      </c>
      <c r="U116" t="s">
        <v>345</v>
      </c>
    </row>
    <row r="117" spans="1:21" ht="15" customHeight="1">
      <c r="A117" s="49">
        <v>115</v>
      </c>
      <c r="B117" s="42" t="s">
        <v>133</v>
      </c>
      <c r="C117" s="42" t="s">
        <v>346</v>
      </c>
      <c r="D117" s="43">
        <v>43276</v>
      </c>
      <c r="E117" s="42">
        <f t="shared" ca="1" si="13"/>
        <v>7</v>
      </c>
      <c r="F117" s="42" t="s">
        <v>70</v>
      </c>
      <c r="G117" s="42" t="s">
        <v>343</v>
      </c>
      <c r="H117" s="42" t="s">
        <v>222</v>
      </c>
      <c r="I117" s="42" t="s">
        <v>46</v>
      </c>
      <c r="J117" s="42"/>
      <c r="K117" s="79" t="str">
        <f t="shared" ca="1" si="10"/>
        <v>U9</v>
      </c>
      <c r="L117" s="48">
        <v>1600</v>
      </c>
      <c r="M117" s="79"/>
      <c r="N117" s="48"/>
      <c r="O117" s="42" t="s">
        <v>48</v>
      </c>
      <c r="P117" s="43">
        <v>46141</v>
      </c>
      <c r="Q117" s="46" t="s">
        <v>344</v>
      </c>
      <c r="R117" s="44"/>
      <c r="S117" s="45" t="str">
        <f t="shared" ca="1" si="11"/>
        <v/>
      </c>
      <c r="T117" s="50" t="str">
        <f t="shared" ca="1" si="12"/>
        <v>✅ À jour</v>
      </c>
      <c r="U117" s="83" t="s">
        <v>345</v>
      </c>
    </row>
    <row r="118" spans="1:21" ht="15" customHeight="1">
      <c r="A118" s="51">
        <v>116</v>
      </c>
      <c r="B118" s="46" t="s">
        <v>123</v>
      </c>
      <c r="C118" s="46" t="s">
        <v>347</v>
      </c>
      <c r="D118" s="47">
        <v>40941</v>
      </c>
      <c r="E118" s="46">
        <f t="shared" ca="1" si="13"/>
        <v>14</v>
      </c>
      <c r="F118" s="46" t="s">
        <v>43</v>
      </c>
      <c r="G118" s="46" t="s">
        <v>125</v>
      </c>
      <c r="H118" s="46" t="s">
        <v>59</v>
      </c>
      <c r="I118" s="46" t="s">
        <v>46</v>
      </c>
      <c r="J118" s="46"/>
      <c r="K118" s="79" t="str">
        <f t="shared" ca="1" si="10"/>
        <v>U15</v>
      </c>
      <c r="L118" s="48">
        <v>2000</v>
      </c>
      <c r="M118" s="79"/>
      <c r="N118" s="48"/>
      <c r="O118" s="46" t="s">
        <v>48</v>
      </c>
      <c r="P118" s="47">
        <v>46141</v>
      </c>
      <c r="Q118" s="46" t="s">
        <v>264</v>
      </c>
      <c r="R118" s="47"/>
      <c r="S118" s="46" t="str">
        <f t="shared" ca="1" si="11"/>
        <v/>
      </c>
      <c r="T118" s="52" t="str">
        <f t="shared" ca="1" si="12"/>
        <v>✅ À jour</v>
      </c>
      <c r="U118" t="s">
        <v>348</v>
      </c>
    </row>
    <row r="119" spans="1:21" ht="15" customHeight="1">
      <c r="A119" s="49">
        <v>117</v>
      </c>
      <c r="B119" s="42" t="s">
        <v>174</v>
      </c>
      <c r="C119" s="42" t="s">
        <v>349</v>
      </c>
      <c r="D119" s="43"/>
      <c r="E119" s="42" t="str">
        <f t="shared" ca="1" si="13"/>
        <v/>
      </c>
      <c r="F119" s="42" t="s">
        <v>43</v>
      </c>
      <c r="G119" s="42" t="s">
        <v>226</v>
      </c>
      <c r="H119" s="42" t="s">
        <v>136</v>
      </c>
      <c r="I119" s="42" t="s">
        <v>46</v>
      </c>
      <c r="J119" s="42"/>
      <c r="K119" s="79" t="str">
        <f t="shared" ca="1" si="10"/>
        <v/>
      </c>
      <c r="L119" s="48"/>
      <c r="M119" s="79"/>
      <c r="N119" s="48"/>
      <c r="O119" s="42"/>
      <c r="P119" s="43"/>
      <c r="Q119" s="42"/>
      <c r="R119" s="44"/>
      <c r="S119" s="45" t="str">
        <f t="shared" ca="1" si="11"/>
        <v/>
      </c>
      <c r="T119" s="50" t="str">
        <f t="shared" ca="1" si="12"/>
        <v>⏳ Pas de date</v>
      </c>
    </row>
    <row r="120" spans="1:21" ht="15" customHeight="1">
      <c r="A120" s="51">
        <v>118</v>
      </c>
      <c r="B120" s="46" t="s">
        <v>350</v>
      </c>
      <c r="C120" s="46" t="s">
        <v>57</v>
      </c>
      <c r="D120" s="47">
        <v>40699</v>
      </c>
      <c r="E120" s="46">
        <f t="shared" ca="1" si="13"/>
        <v>14</v>
      </c>
      <c r="F120" s="46" t="s">
        <v>43</v>
      </c>
      <c r="G120" s="46" t="s">
        <v>351</v>
      </c>
      <c r="H120" s="46" t="s">
        <v>136</v>
      </c>
      <c r="I120" s="46" t="s">
        <v>46</v>
      </c>
      <c r="J120" s="46"/>
      <c r="K120" s="79" t="str">
        <f t="shared" ca="1" si="10"/>
        <v>U15</v>
      </c>
      <c r="L120" s="48">
        <v>1000</v>
      </c>
      <c r="M120" s="79"/>
      <c r="N120" s="48"/>
      <c r="O120" s="46" t="s">
        <v>60</v>
      </c>
      <c r="P120" s="47">
        <v>46143</v>
      </c>
      <c r="Q120" s="46" t="s">
        <v>352</v>
      </c>
      <c r="R120" s="47"/>
      <c r="S120" s="46" t="str">
        <f t="shared" ca="1" si="11"/>
        <v/>
      </c>
      <c r="T120" s="52" t="str">
        <f t="shared" ca="1" si="12"/>
        <v>⏳ Pas de date</v>
      </c>
    </row>
    <row r="121" spans="1:21" ht="15" customHeight="1">
      <c r="A121" s="49">
        <v>119</v>
      </c>
      <c r="B121" s="42" t="s">
        <v>174</v>
      </c>
      <c r="C121" s="42" t="s">
        <v>353</v>
      </c>
      <c r="D121" s="43">
        <v>43682</v>
      </c>
      <c r="E121" s="42">
        <f t="shared" ca="1" si="13"/>
        <v>6</v>
      </c>
      <c r="F121" s="42" t="s">
        <v>43</v>
      </c>
      <c r="G121" s="42" t="s">
        <v>351</v>
      </c>
      <c r="H121" s="42" t="s">
        <v>136</v>
      </c>
      <c r="I121" s="42" t="s">
        <v>46</v>
      </c>
      <c r="J121" s="42"/>
      <c r="K121" s="79" t="str">
        <f t="shared" ca="1" si="10"/>
        <v>U7</v>
      </c>
      <c r="L121" s="48">
        <v>1000</v>
      </c>
      <c r="M121" s="79"/>
      <c r="N121" s="48"/>
      <c r="O121" s="42" t="s">
        <v>60</v>
      </c>
      <c r="P121" s="43">
        <v>46143</v>
      </c>
      <c r="Q121" s="84" t="s">
        <v>352</v>
      </c>
      <c r="R121" s="44"/>
      <c r="S121" s="45" t="str">
        <f t="shared" ca="1" si="11"/>
        <v/>
      </c>
      <c r="T121" s="50" t="str">
        <f t="shared" ca="1" si="12"/>
        <v>⏳ Pas de date</v>
      </c>
    </row>
    <row r="122" spans="1:21" ht="15" customHeight="1">
      <c r="A122" s="51">
        <v>120</v>
      </c>
      <c r="B122" s="46" t="s">
        <v>354</v>
      </c>
      <c r="C122" s="46" t="s">
        <v>57</v>
      </c>
      <c r="D122" s="47">
        <v>43852</v>
      </c>
      <c r="E122" s="46">
        <f t="shared" ca="1" si="13"/>
        <v>6</v>
      </c>
      <c r="F122" s="46" t="s">
        <v>43</v>
      </c>
      <c r="G122" s="46" t="s">
        <v>355</v>
      </c>
      <c r="H122" s="46"/>
      <c r="I122" s="46" t="s">
        <v>46</v>
      </c>
      <c r="J122" s="46"/>
      <c r="K122" s="79" t="str">
        <f t="shared" ca="1" si="10"/>
        <v>U7</v>
      </c>
      <c r="L122" s="48">
        <v>1000</v>
      </c>
      <c r="M122" s="79"/>
      <c r="N122" s="48"/>
      <c r="O122" s="46" t="s">
        <v>60</v>
      </c>
      <c r="P122" s="47">
        <v>46117</v>
      </c>
      <c r="Q122" s="46"/>
      <c r="R122" s="47"/>
      <c r="S122" s="46" t="str">
        <f t="shared" ca="1" si="11"/>
        <v/>
      </c>
      <c r="T122" s="52" t="str">
        <f t="shared" ca="1" si="12"/>
        <v>⏳ Pas de date</v>
      </c>
    </row>
    <row r="123" spans="1:21" ht="15" customHeight="1">
      <c r="A123" s="49">
        <v>121</v>
      </c>
      <c r="B123" s="42" t="s">
        <v>354</v>
      </c>
      <c r="C123" s="42" t="s">
        <v>356</v>
      </c>
      <c r="D123" s="43">
        <v>42832</v>
      </c>
      <c r="E123" s="42">
        <f t="shared" ca="1" si="13"/>
        <v>9</v>
      </c>
      <c r="F123" s="42" t="s">
        <v>43</v>
      </c>
      <c r="G123" s="42" t="s">
        <v>355</v>
      </c>
      <c r="H123" s="42"/>
      <c r="I123" s="42" t="s">
        <v>46</v>
      </c>
      <c r="J123" s="42"/>
      <c r="K123" s="79" t="str">
        <f t="shared" ca="1" si="10"/>
        <v>U11</v>
      </c>
      <c r="L123" s="48">
        <v>1000</v>
      </c>
      <c r="M123" s="79"/>
      <c r="N123" s="48"/>
      <c r="O123" s="42" t="s">
        <v>60</v>
      </c>
      <c r="P123" s="43">
        <v>46117</v>
      </c>
      <c r="Q123" s="42"/>
      <c r="R123" s="44"/>
      <c r="S123" s="45" t="str">
        <f t="shared" ca="1" si="11"/>
        <v/>
      </c>
      <c r="T123" s="50" t="str">
        <f t="shared" ca="1" si="12"/>
        <v>⏳ Pas de date</v>
      </c>
    </row>
    <row r="124" spans="1:21" ht="15" customHeight="1">
      <c r="A124" s="51">
        <v>122</v>
      </c>
      <c r="B124" s="46"/>
      <c r="C124" s="46"/>
      <c r="D124" s="47"/>
      <c r="E124" s="46" t="str">
        <f t="shared" ca="1" si="13"/>
        <v/>
      </c>
      <c r="F124" s="46"/>
      <c r="G124" s="46"/>
      <c r="H124" s="46"/>
      <c r="I124" s="46"/>
      <c r="J124" s="46"/>
      <c r="K124" s="79" t="str">
        <f t="shared" si="10"/>
        <v/>
      </c>
      <c r="L124" s="48"/>
      <c r="M124" s="79"/>
      <c r="N124" s="48"/>
      <c r="O124" s="46"/>
      <c r="P124" s="47"/>
      <c r="Q124" s="46"/>
      <c r="R124" s="47"/>
      <c r="S124" s="46" t="str">
        <f t="shared" ca="1" si="11"/>
        <v/>
      </c>
      <c r="T124" s="52" t="str">
        <f t="shared" ca="1" si="12"/>
        <v/>
      </c>
    </row>
    <row r="125" spans="1:21" ht="15" customHeight="1">
      <c r="A125" s="49">
        <v>123</v>
      </c>
      <c r="B125" s="42"/>
      <c r="C125" s="42"/>
      <c r="D125" s="43"/>
      <c r="E125" s="42" t="str">
        <f t="shared" ca="1" si="13"/>
        <v/>
      </c>
      <c r="F125" s="42"/>
      <c r="G125" s="42"/>
      <c r="H125" s="42"/>
      <c r="I125" s="42"/>
      <c r="J125" s="42"/>
      <c r="K125" s="79" t="str">
        <f t="shared" si="10"/>
        <v/>
      </c>
      <c r="L125" s="48"/>
      <c r="M125" s="79"/>
      <c r="N125" s="48"/>
      <c r="O125" s="42"/>
      <c r="P125" s="43"/>
      <c r="Q125" s="42"/>
      <c r="R125" s="44"/>
      <c r="S125" s="45" t="str">
        <f t="shared" ca="1" si="11"/>
        <v/>
      </c>
      <c r="T125" s="50" t="str">
        <f t="shared" ca="1" si="12"/>
        <v/>
      </c>
    </row>
    <row r="126" spans="1:21" ht="15" customHeight="1">
      <c r="A126" s="51">
        <v>124</v>
      </c>
      <c r="B126" s="46"/>
      <c r="C126" s="46"/>
      <c r="D126" s="47"/>
      <c r="E126" s="46" t="str">
        <f t="shared" ca="1" si="13"/>
        <v/>
      </c>
      <c r="F126" s="46"/>
      <c r="G126" s="46"/>
      <c r="H126" s="46"/>
      <c r="I126" s="46"/>
      <c r="J126" s="46"/>
      <c r="K126" s="79" t="str">
        <f t="shared" si="10"/>
        <v/>
      </c>
      <c r="L126" s="48"/>
      <c r="M126" s="79"/>
      <c r="N126" s="48"/>
      <c r="O126" s="46"/>
      <c r="P126" s="47"/>
      <c r="Q126" s="46"/>
      <c r="R126" s="47"/>
      <c r="S126" s="46" t="str">
        <f t="shared" ca="1" si="11"/>
        <v/>
      </c>
      <c r="T126" s="52" t="str">
        <f t="shared" ca="1" si="12"/>
        <v/>
      </c>
    </row>
    <row r="127" spans="1:21" ht="15" customHeight="1">
      <c r="A127" s="49">
        <v>125</v>
      </c>
      <c r="B127" s="42"/>
      <c r="C127" s="42"/>
      <c r="D127" s="43"/>
      <c r="E127" s="42" t="str">
        <f t="shared" ca="1" si="13"/>
        <v/>
      </c>
      <c r="F127" s="42"/>
      <c r="G127" s="42"/>
      <c r="H127" s="42"/>
      <c r="I127" s="42"/>
      <c r="J127" s="42"/>
      <c r="K127" s="79" t="str">
        <f t="shared" si="10"/>
        <v/>
      </c>
      <c r="L127" s="48"/>
      <c r="M127" s="79"/>
      <c r="N127" s="48"/>
      <c r="O127" s="42"/>
      <c r="P127" s="43"/>
      <c r="Q127" s="42"/>
      <c r="R127" s="44"/>
      <c r="S127" s="45" t="str">
        <f t="shared" ca="1" si="11"/>
        <v/>
      </c>
      <c r="T127" s="50" t="str">
        <f t="shared" ca="1" si="12"/>
        <v/>
      </c>
    </row>
    <row r="128" spans="1:21" ht="15" customHeight="1">
      <c r="A128" s="51">
        <v>126</v>
      </c>
      <c r="B128" s="46"/>
      <c r="C128" s="46"/>
      <c r="D128" s="47"/>
      <c r="E128" s="46" t="str">
        <f t="shared" ca="1" si="13"/>
        <v/>
      </c>
      <c r="F128" s="46"/>
      <c r="G128" s="46"/>
      <c r="H128" s="46"/>
      <c r="I128" s="46"/>
      <c r="J128" s="46"/>
      <c r="K128" s="79" t="str">
        <f t="shared" si="10"/>
        <v/>
      </c>
      <c r="L128" s="48"/>
      <c r="M128" s="79"/>
      <c r="N128" s="48"/>
      <c r="O128" s="46"/>
      <c r="P128" s="47"/>
      <c r="Q128" s="46"/>
      <c r="R128" s="47"/>
      <c r="S128" s="46" t="str">
        <f t="shared" ca="1" si="11"/>
        <v/>
      </c>
      <c r="T128" s="52" t="str">
        <f t="shared" ca="1" si="12"/>
        <v/>
      </c>
    </row>
    <row r="129" spans="1:20" ht="15" customHeight="1">
      <c r="A129" s="49">
        <v>127</v>
      </c>
      <c r="B129" s="42"/>
      <c r="C129" s="42"/>
      <c r="D129" s="43"/>
      <c r="E129" s="42" t="str">
        <f t="shared" ca="1" si="13"/>
        <v/>
      </c>
      <c r="F129" s="42"/>
      <c r="G129" s="42"/>
      <c r="H129" s="42"/>
      <c r="I129" s="42"/>
      <c r="J129" s="42"/>
      <c r="K129" s="79" t="str">
        <f t="shared" si="10"/>
        <v/>
      </c>
      <c r="L129" s="48"/>
      <c r="M129" s="79"/>
      <c r="N129" s="48"/>
      <c r="O129" s="42"/>
      <c r="P129" s="43"/>
      <c r="Q129" s="42"/>
      <c r="R129" s="44"/>
      <c r="S129" s="45" t="str">
        <f t="shared" ca="1" si="11"/>
        <v/>
      </c>
      <c r="T129" s="50" t="str">
        <f t="shared" ca="1" si="12"/>
        <v/>
      </c>
    </row>
    <row r="130" spans="1:20" ht="15" customHeight="1">
      <c r="A130" s="51">
        <v>128</v>
      </c>
      <c r="B130" s="46"/>
      <c r="C130" s="46"/>
      <c r="D130" s="47"/>
      <c r="E130" s="46" t="str">
        <f t="shared" ca="1" si="13"/>
        <v/>
      </c>
      <c r="F130" s="46"/>
      <c r="G130" s="46"/>
      <c r="H130" s="46"/>
      <c r="I130" s="46"/>
      <c r="J130" s="46"/>
      <c r="K130" s="79" t="str">
        <f t="shared" si="10"/>
        <v/>
      </c>
      <c r="L130" s="48"/>
      <c r="M130" s="79"/>
      <c r="N130" s="48"/>
      <c r="O130" s="46"/>
      <c r="P130" s="47"/>
      <c r="Q130" s="46"/>
      <c r="R130" s="47"/>
      <c r="S130" s="46" t="str">
        <f t="shared" ca="1" si="11"/>
        <v/>
      </c>
      <c r="T130" s="52" t="str">
        <f t="shared" ca="1" si="12"/>
        <v/>
      </c>
    </row>
    <row r="131" spans="1:20" ht="15" customHeight="1">
      <c r="A131" s="49">
        <v>129</v>
      </c>
      <c r="B131" s="42"/>
      <c r="C131" s="42"/>
      <c r="D131" s="43"/>
      <c r="E131" s="42" t="str">
        <f t="shared" ref="E131:E162" ca="1" si="14">IF(D131="","",DATEDIF(D131,TODAY(),"Y"))</f>
        <v/>
      </c>
      <c r="F131" s="42"/>
      <c r="G131" s="42"/>
      <c r="H131" s="42"/>
      <c r="I131" s="42"/>
      <c r="J131" s="42"/>
      <c r="K131" s="79" t="str">
        <f t="shared" si="10"/>
        <v/>
      </c>
      <c r="L131" s="48"/>
      <c r="M131" s="79"/>
      <c r="N131" s="48"/>
      <c r="O131" s="42"/>
      <c r="P131" s="43"/>
      <c r="Q131" s="42"/>
      <c r="R131" s="44"/>
      <c r="S131" s="45" t="str">
        <f t="shared" ref="S131:S162" ca="1" si="15">IF(OR(B131="",R131="",O131="Payé"),"",MAX(0,TODAY()-R131))</f>
        <v/>
      </c>
      <c r="T131" s="50" t="str">
        <f t="shared" ref="T131:T162" ca="1" si="16">IF(B131="","",IF(O131="Payé","✅ À jour",IF(R131="","⏳ Pas de date",IF(TODAY()&gt;R131,"🔴 En retard",IF(R131-TODAY()&lt;=7,"🟡 Bientôt dû","🟢 Dans les temps")))))</f>
        <v/>
      </c>
    </row>
    <row r="132" spans="1:20" ht="15" customHeight="1">
      <c r="A132" s="51">
        <v>130</v>
      </c>
      <c r="B132" s="46"/>
      <c r="C132" s="46"/>
      <c r="D132" s="47"/>
      <c r="E132" s="46" t="str">
        <f t="shared" ca="1" si="14"/>
        <v/>
      </c>
      <c r="F132" s="46"/>
      <c r="G132" s="46"/>
      <c r="H132" s="46"/>
      <c r="I132" s="46"/>
      <c r="J132" s="46"/>
      <c r="K132" s="79" t="str">
        <f t="shared" si="10"/>
        <v/>
      </c>
      <c r="L132" s="48"/>
      <c r="M132" s="79"/>
      <c r="N132" s="48"/>
      <c r="O132" s="46"/>
      <c r="P132" s="47"/>
      <c r="Q132" s="46"/>
      <c r="R132" s="47"/>
      <c r="S132" s="46" t="str">
        <f t="shared" ca="1" si="15"/>
        <v/>
      </c>
      <c r="T132" s="52" t="str">
        <f t="shared" ca="1" si="16"/>
        <v/>
      </c>
    </row>
    <row r="133" spans="1:20" ht="15" customHeight="1">
      <c r="A133" s="49">
        <v>131</v>
      </c>
      <c r="B133" s="42"/>
      <c r="C133" s="42"/>
      <c r="D133" s="43"/>
      <c r="E133" s="42" t="str">
        <f t="shared" ca="1" si="14"/>
        <v/>
      </c>
      <c r="F133" s="42"/>
      <c r="G133" s="42"/>
      <c r="H133" s="42"/>
      <c r="I133" s="42"/>
      <c r="J133" s="42"/>
      <c r="K133" s="79" t="str">
        <f t="shared" si="10"/>
        <v/>
      </c>
      <c r="L133" s="48"/>
      <c r="M133" s="79"/>
      <c r="N133" s="48"/>
      <c r="O133" s="42"/>
      <c r="P133" s="43"/>
      <c r="Q133" s="42"/>
      <c r="R133" s="44"/>
      <c r="S133" s="45" t="str">
        <f t="shared" ca="1" si="15"/>
        <v/>
      </c>
      <c r="T133" s="50" t="str">
        <f t="shared" ca="1" si="16"/>
        <v/>
      </c>
    </row>
    <row r="134" spans="1:20" ht="15" customHeight="1">
      <c r="A134" s="51">
        <v>132</v>
      </c>
      <c r="B134" s="46"/>
      <c r="C134" s="46"/>
      <c r="D134" s="47"/>
      <c r="E134" s="46" t="str">
        <f t="shared" ca="1" si="14"/>
        <v/>
      </c>
      <c r="F134" s="46"/>
      <c r="G134" s="46"/>
      <c r="H134" s="46"/>
      <c r="I134" s="46"/>
      <c r="J134" s="46"/>
      <c r="K134" s="79" t="str">
        <f t="shared" si="10"/>
        <v/>
      </c>
      <c r="L134" s="48"/>
      <c r="M134" s="79"/>
      <c r="N134" s="48"/>
      <c r="O134" s="46"/>
      <c r="P134" s="47"/>
      <c r="Q134" s="46"/>
      <c r="R134" s="47"/>
      <c r="S134" s="46" t="str">
        <f t="shared" ca="1" si="15"/>
        <v/>
      </c>
      <c r="T134" s="52" t="str">
        <f t="shared" ca="1" si="16"/>
        <v/>
      </c>
    </row>
    <row r="135" spans="1:20" ht="15" customHeight="1">
      <c r="A135" s="49">
        <v>133</v>
      </c>
      <c r="B135" s="42"/>
      <c r="C135" s="42"/>
      <c r="D135" s="43"/>
      <c r="E135" s="42" t="str">
        <f t="shared" ca="1" si="14"/>
        <v/>
      </c>
      <c r="F135" s="42"/>
      <c r="G135" s="42"/>
      <c r="H135" s="42"/>
      <c r="I135" s="42"/>
      <c r="J135" s="42"/>
      <c r="K135" s="79" t="str">
        <f t="shared" ref="K135:K198" si="17">IF(I135&lt;&gt;"Oui","",IF(E135="","",IF(E135&lt;5,"U5",IF(E135&lt;7,"U7",IF(E135&lt;9,"U9",IF(E135&lt;10,"U11",IF(F135="F",IF(E135&lt;12,"U12F","U15F"),IF(E135&lt;11,"U11",IF(E135&lt;13,"U13","U15")))))))))</f>
        <v/>
      </c>
      <c r="L135" s="48"/>
      <c r="M135" s="79"/>
      <c r="N135" s="48"/>
      <c r="O135" s="42"/>
      <c r="P135" s="43"/>
      <c r="Q135" s="42"/>
      <c r="R135" s="44"/>
      <c r="S135" s="45" t="str">
        <f t="shared" ca="1" si="15"/>
        <v/>
      </c>
      <c r="T135" s="50" t="str">
        <f t="shared" ca="1" si="16"/>
        <v/>
      </c>
    </row>
    <row r="136" spans="1:20" ht="15" customHeight="1">
      <c r="A136" s="51">
        <v>134</v>
      </c>
      <c r="B136" s="46"/>
      <c r="C136" s="46"/>
      <c r="D136" s="47"/>
      <c r="E136" s="46" t="str">
        <f t="shared" ca="1" si="14"/>
        <v/>
      </c>
      <c r="F136" s="46"/>
      <c r="G136" s="46"/>
      <c r="H136" s="46"/>
      <c r="I136" s="46"/>
      <c r="J136" s="46"/>
      <c r="K136" s="79" t="str">
        <f t="shared" si="17"/>
        <v/>
      </c>
      <c r="L136" s="48"/>
      <c r="M136" s="79"/>
      <c r="N136" s="48"/>
      <c r="O136" s="46"/>
      <c r="P136" s="47"/>
      <c r="Q136" s="46"/>
      <c r="R136" s="47"/>
      <c r="S136" s="46" t="str">
        <f t="shared" ca="1" si="15"/>
        <v/>
      </c>
      <c r="T136" s="52" t="str">
        <f t="shared" ca="1" si="16"/>
        <v/>
      </c>
    </row>
    <row r="137" spans="1:20" ht="15" customHeight="1">
      <c r="A137" s="49">
        <v>135</v>
      </c>
      <c r="B137" s="42"/>
      <c r="C137" s="42"/>
      <c r="D137" s="43"/>
      <c r="E137" s="42" t="str">
        <f t="shared" ca="1" si="14"/>
        <v/>
      </c>
      <c r="F137" s="42"/>
      <c r="G137" s="42"/>
      <c r="H137" s="42"/>
      <c r="I137" s="42"/>
      <c r="J137" s="42"/>
      <c r="K137" s="79" t="str">
        <f t="shared" si="17"/>
        <v/>
      </c>
      <c r="L137" s="48"/>
      <c r="M137" s="79"/>
      <c r="N137" s="48"/>
      <c r="O137" s="42"/>
      <c r="P137" s="43"/>
      <c r="Q137" s="42"/>
      <c r="R137" s="44"/>
      <c r="S137" s="45" t="str">
        <f t="shared" ca="1" si="15"/>
        <v/>
      </c>
      <c r="T137" s="50" t="str">
        <f t="shared" ca="1" si="16"/>
        <v/>
      </c>
    </row>
    <row r="138" spans="1:20" ht="15" customHeight="1">
      <c r="A138" s="51">
        <v>136</v>
      </c>
      <c r="B138" s="46"/>
      <c r="C138" s="46"/>
      <c r="D138" s="47"/>
      <c r="E138" s="46" t="str">
        <f t="shared" ca="1" si="14"/>
        <v/>
      </c>
      <c r="F138" s="46"/>
      <c r="G138" s="46"/>
      <c r="H138" s="46"/>
      <c r="I138" s="46"/>
      <c r="J138" s="46"/>
      <c r="K138" s="79" t="str">
        <f t="shared" si="17"/>
        <v/>
      </c>
      <c r="L138" s="48"/>
      <c r="M138" s="79"/>
      <c r="N138" s="48"/>
      <c r="O138" s="46"/>
      <c r="P138" s="47"/>
      <c r="Q138" s="46"/>
      <c r="R138" s="47"/>
      <c r="S138" s="46" t="str">
        <f t="shared" ca="1" si="15"/>
        <v/>
      </c>
      <c r="T138" s="52" t="str">
        <f t="shared" ca="1" si="16"/>
        <v/>
      </c>
    </row>
    <row r="139" spans="1:20" ht="15" customHeight="1">
      <c r="A139" s="49">
        <v>137</v>
      </c>
      <c r="B139" s="42"/>
      <c r="C139" s="42"/>
      <c r="D139" s="43"/>
      <c r="E139" s="42" t="str">
        <f t="shared" ca="1" si="14"/>
        <v/>
      </c>
      <c r="F139" s="42"/>
      <c r="G139" s="42"/>
      <c r="H139" s="42"/>
      <c r="I139" s="42"/>
      <c r="J139" s="42"/>
      <c r="K139" s="79" t="str">
        <f t="shared" si="17"/>
        <v/>
      </c>
      <c r="L139" s="48"/>
      <c r="M139" s="79"/>
      <c r="N139" s="48"/>
      <c r="O139" s="42"/>
      <c r="P139" s="43"/>
      <c r="Q139" s="42"/>
      <c r="R139" s="44"/>
      <c r="S139" s="45" t="str">
        <f t="shared" ca="1" si="15"/>
        <v/>
      </c>
      <c r="T139" s="50" t="str">
        <f t="shared" ca="1" si="16"/>
        <v/>
      </c>
    </row>
    <row r="140" spans="1:20" ht="15" customHeight="1">
      <c r="A140" s="51">
        <v>138</v>
      </c>
      <c r="B140" s="46"/>
      <c r="C140" s="46"/>
      <c r="D140" s="47"/>
      <c r="E140" s="46" t="str">
        <f t="shared" ca="1" si="14"/>
        <v/>
      </c>
      <c r="F140" s="46"/>
      <c r="G140" s="46"/>
      <c r="H140" s="46"/>
      <c r="I140" s="46"/>
      <c r="J140" s="46"/>
      <c r="K140" s="79" t="str">
        <f t="shared" si="17"/>
        <v/>
      </c>
      <c r="L140" s="48"/>
      <c r="M140" s="79"/>
      <c r="N140" s="48"/>
      <c r="O140" s="46"/>
      <c r="P140" s="47"/>
      <c r="Q140" s="46"/>
      <c r="R140" s="47"/>
      <c r="S140" s="46" t="str">
        <f t="shared" ca="1" si="15"/>
        <v/>
      </c>
      <c r="T140" s="52" t="str">
        <f t="shared" ca="1" si="16"/>
        <v/>
      </c>
    </row>
    <row r="141" spans="1:20" ht="15" customHeight="1">
      <c r="A141" s="49">
        <v>139</v>
      </c>
      <c r="B141" s="42"/>
      <c r="C141" s="42"/>
      <c r="D141" s="43"/>
      <c r="E141" s="42" t="str">
        <f t="shared" ca="1" si="14"/>
        <v/>
      </c>
      <c r="F141" s="42"/>
      <c r="G141" s="42"/>
      <c r="H141" s="42"/>
      <c r="I141" s="42"/>
      <c r="J141" s="42"/>
      <c r="K141" s="79" t="str">
        <f t="shared" si="17"/>
        <v/>
      </c>
      <c r="L141" s="48"/>
      <c r="M141" s="79"/>
      <c r="N141" s="48"/>
      <c r="O141" s="42"/>
      <c r="P141" s="43"/>
      <c r="Q141" s="42"/>
      <c r="R141" s="44"/>
      <c r="S141" s="45" t="str">
        <f t="shared" ca="1" si="15"/>
        <v/>
      </c>
      <c r="T141" s="50" t="str">
        <f t="shared" ca="1" si="16"/>
        <v/>
      </c>
    </row>
    <row r="142" spans="1:20" ht="15" customHeight="1">
      <c r="A142" s="51">
        <v>140</v>
      </c>
      <c r="B142" s="46"/>
      <c r="C142" s="46"/>
      <c r="D142" s="47"/>
      <c r="E142" s="46" t="str">
        <f t="shared" ca="1" si="14"/>
        <v/>
      </c>
      <c r="F142" s="46"/>
      <c r="G142" s="46"/>
      <c r="H142" s="46"/>
      <c r="I142" s="46"/>
      <c r="J142" s="46"/>
      <c r="K142" s="79" t="str">
        <f t="shared" si="17"/>
        <v/>
      </c>
      <c r="L142" s="48"/>
      <c r="M142" s="79"/>
      <c r="N142" s="48"/>
      <c r="O142" s="46"/>
      <c r="P142" s="47"/>
      <c r="Q142" s="46"/>
      <c r="R142" s="47"/>
      <c r="S142" s="46" t="str">
        <f t="shared" ca="1" si="15"/>
        <v/>
      </c>
      <c r="T142" s="52" t="str">
        <f t="shared" ca="1" si="16"/>
        <v/>
      </c>
    </row>
    <row r="143" spans="1:20" ht="15" customHeight="1">
      <c r="A143" s="49">
        <v>141</v>
      </c>
      <c r="B143" s="42"/>
      <c r="C143" s="42"/>
      <c r="D143" s="43"/>
      <c r="E143" s="42" t="str">
        <f t="shared" ca="1" si="14"/>
        <v/>
      </c>
      <c r="F143" s="42"/>
      <c r="G143" s="42"/>
      <c r="H143" s="42"/>
      <c r="I143" s="42"/>
      <c r="J143" s="42"/>
      <c r="K143" s="79" t="str">
        <f t="shared" si="17"/>
        <v/>
      </c>
      <c r="L143" s="48"/>
      <c r="M143" s="79"/>
      <c r="N143" s="48"/>
      <c r="O143" s="42"/>
      <c r="P143" s="43"/>
      <c r="Q143" s="42"/>
      <c r="R143" s="44"/>
      <c r="S143" s="45" t="str">
        <f t="shared" ca="1" si="15"/>
        <v/>
      </c>
      <c r="T143" s="50" t="str">
        <f t="shared" ca="1" si="16"/>
        <v/>
      </c>
    </row>
    <row r="144" spans="1:20" ht="15" customHeight="1">
      <c r="A144" s="51">
        <v>142</v>
      </c>
      <c r="B144" s="46"/>
      <c r="C144" s="46"/>
      <c r="D144" s="47"/>
      <c r="E144" s="46" t="str">
        <f t="shared" ca="1" si="14"/>
        <v/>
      </c>
      <c r="F144" s="46"/>
      <c r="G144" s="46"/>
      <c r="H144" s="46"/>
      <c r="I144" s="46"/>
      <c r="J144" s="46"/>
      <c r="K144" s="79" t="str">
        <f t="shared" si="17"/>
        <v/>
      </c>
      <c r="L144" s="48"/>
      <c r="M144" s="79"/>
      <c r="N144" s="48"/>
      <c r="O144" s="46"/>
      <c r="P144" s="47"/>
      <c r="Q144" s="46"/>
      <c r="R144" s="47"/>
      <c r="S144" s="46" t="str">
        <f t="shared" ca="1" si="15"/>
        <v/>
      </c>
      <c r="T144" s="52" t="str">
        <f t="shared" ca="1" si="16"/>
        <v/>
      </c>
    </row>
    <row r="145" spans="1:20" ht="15" customHeight="1">
      <c r="A145" s="49">
        <v>143</v>
      </c>
      <c r="B145" s="42"/>
      <c r="C145" s="42"/>
      <c r="D145" s="43"/>
      <c r="E145" s="42" t="str">
        <f t="shared" ca="1" si="14"/>
        <v/>
      </c>
      <c r="F145" s="42"/>
      <c r="G145" s="42"/>
      <c r="H145" s="42"/>
      <c r="I145" s="42"/>
      <c r="J145" s="42"/>
      <c r="K145" s="79" t="str">
        <f t="shared" si="17"/>
        <v/>
      </c>
      <c r="L145" s="48"/>
      <c r="M145" s="79"/>
      <c r="N145" s="48"/>
      <c r="O145" s="42"/>
      <c r="P145" s="43"/>
      <c r="Q145" s="42"/>
      <c r="R145" s="44"/>
      <c r="S145" s="45" t="str">
        <f t="shared" ca="1" si="15"/>
        <v/>
      </c>
      <c r="T145" s="50" t="str">
        <f t="shared" ca="1" si="16"/>
        <v/>
      </c>
    </row>
    <row r="146" spans="1:20" ht="15" customHeight="1">
      <c r="A146" s="51">
        <v>144</v>
      </c>
      <c r="B146" s="46"/>
      <c r="C146" s="46"/>
      <c r="D146" s="47"/>
      <c r="E146" s="46" t="str">
        <f t="shared" ca="1" si="14"/>
        <v/>
      </c>
      <c r="F146" s="46"/>
      <c r="G146" s="46"/>
      <c r="H146" s="46"/>
      <c r="I146" s="46"/>
      <c r="J146" s="46"/>
      <c r="K146" s="79" t="str">
        <f t="shared" si="17"/>
        <v/>
      </c>
      <c r="L146" s="48"/>
      <c r="M146" s="79"/>
      <c r="N146" s="48"/>
      <c r="O146" s="46"/>
      <c r="P146" s="47"/>
      <c r="Q146" s="46"/>
      <c r="R146" s="47"/>
      <c r="S146" s="46" t="str">
        <f t="shared" ca="1" si="15"/>
        <v/>
      </c>
      <c r="T146" s="52" t="str">
        <f t="shared" ca="1" si="16"/>
        <v/>
      </c>
    </row>
    <row r="147" spans="1:20" ht="15" customHeight="1">
      <c r="A147" s="49">
        <v>145</v>
      </c>
      <c r="B147" s="42"/>
      <c r="C147" s="42"/>
      <c r="D147" s="43"/>
      <c r="E147" s="42" t="str">
        <f t="shared" ca="1" si="14"/>
        <v/>
      </c>
      <c r="F147" s="42"/>
      <c r="G147" s="42"/>
      <c r="H147" s="42"/>
      <c r="I147" s="42"/>
      <c r="J147" s="42"/>
      <c r="K147" s="79" t="str">
        <f t="shared" si="17"/>
        <v/>
      </c>
      <c r="L147" s="48"/>
      <c r="M147" s="79"/>
      <c r="N147" s="48"/>
      <c r="O147" s="42"/>
      <c r="P147" s="43"/>
      <c r="Q147" s="42"/>
      <c r="R147" s="44"/>
      <c r="S147" s="45" t="str">
        <f t="shared" ca="1" si="15"/>
        <v/>
      </c>
      <c r="T147" s="50" t="str">
        <f t="shared" ca="1" si="16"/>
        <v/>
      </c>
    </row>
    <row r="148" spans="1:20" ht="15" customHeight="1">
      <c r="A148" s="51">
        <v>146</v>
      </c>
      <c r="B148" s="46"/>
      <c r="C148" s="46"/>
      <c r="D148" s="47"/>
      <c r="E148" s="46" t="str">
        <f t="shared" ca="1" si="14"/>
        <v/>
      </c>
      <c r="F148" s="46"/>
      <c r="G148" s="46"/>
      <c r="H148" s="46"/>
      <c r="I148" s="46"/>
      <c r="J148" s="46"/>
      <c r="K148" s="79" t="str">
        <f t="shared" si="17"/>
        <v/>
      </c>
      <c r="L148" s="48"/>
      <c r="M148" s="79"/>
      <c r="N148" s="48"/>
      <c r="O148" s="46"/>
      <c r="P148" s="47"/>
      <c r="Q148" s="46"/>
      <c r="R148" s="47"/>
      <c r="S148" s="46" t="str">
        <f t="shared" ca="1" si="15"/>
        <v/>
      </c>
      <c r="T148" s="52" t="str">
        <f t="shared" ca="1" si="16"/>
        <v/>
      </c>
    </row>
    <row r="149" spans="1:20" ht="15" customHeight="1">
      <c r="A149" s="49">
        <v>147</v>
      </c>
      <c r="B149" s="42"/>
      <c r="C149" s="42"/>
      <c r="D149" s="43"/>
      <c r="E149" s="42" t="str">
        <f t="shared" ca="1" si="14"/>
        <v/>
      </c>
      <c r="F149" s="42"/>
      <c r="G149" s="42"/>
      <c r="H149" s="42"/>
      <c r="I149" s="42"/>
      <c r="J149" s="42"/>
      <c r="K149" s="79" t="str">
        <f t="shared" si="17"/>
        <v/>
      </c>
      <c r="L149" s="48"/>
      <c r="M149" s="79"/>
      <c r="N149" s="48"/>
      <c r="O149" s="42"/>
      <c r="P149" s="43"/>
      <c r="Q149" s="42"/>
      <c r="R149" s="44"/>
      <c r="S149" s="45" t="str">
        <f t="shared" ca="1" si="15"/>
        <v/>
      </c>
      <c r="T149" s="50" t="str">
        <f t="shared" ca="1" si="16"/>
        <v/>
      </c>
    </row>
    <row r="150" spans="1:20" ht="15" customHeight="1">
      <c r="A150" s="51">
        <v>148</v>
      </c>
      <c r="B150" s="46"/>
      <c r="C150" s="46"/>
      <c r="D150" s="47"/>
      <c r="E150" s="46" t="str">
        <f t="shared" ca="1" si="14"/>
        <v/>
      </c>
      <c r="F150" s="46"/>
      <c r="G150" s="46"/>
      <c r="H150" s="46"/>
      <c r="I150" s="46"/>
      <c r="J150" s="46"/>
      <c r="K150" s="79" t="str">
        <f t="shared" si="17"/>
        <v/>
      </c>
      <c r="L150" s="48"/>
      <c r="M150" s="79"/>
      <c r="N150" s="48"/>
      <c r="O150" s="46"/>
      <c r="P150" s="47"/>
      <c r="Q150" s="46"/>
      <c r="R150" s="47"/>
      <c r="S150" s="46" t="str">
        <f t="shared" ca="1" si="15"/>
        <v/>
      </c>
      <c r="T150" s="52" t="str">
        <f t="shared" ca="1" si="16"/>
        <v/>
      </c>
    </row>
    <row r="151" spans="1:20" ht="15" customHeight="1">
      <c r="A151" s="49">
        <v>149</v>
      </c>
      <c r="B151" s="42"/>
      <c r="C151" s="42"/>
      <c r="D151" s="43"/>
      <c r="E151" s="42" t="str">
        <f t="shared" ca="1" si="14"/>
        <v/>
      </c>
      <c r="F151" s="42"/>
      <c r="G151" s="42"/>
      <c r="H151" s="42"/>
      <c r="I151" s="42"/>
      <c r="J151" s="42"/>
      <c r="K151" s="79" t="str">
        <f t="shared" si="17"/>
        <v/>
      </c>
      <c r="L151" s="48"/>
      <c r="M151" s="79"/>
      <c r="N151" s="48"/>
      <c r="O151" s="42"/>
      <c r="P151" s="43"/>
      <c r="Q151" s="42"/>
      <c r="R151" s="44"/>
      <c r="S151" s="45" t="str">
        <f t="shared" ca="1" si="15"/>
        <v/>
      </c>
      <c r="T151" s="50" t="str">
        <f t="shared" ca="1" si="16"/>
        <v/>
      </c>
    </row>
    <row r="152" spans="1:20" ht="15" customHeight="1">
      <c r="A152" s="51">
        <v>150</v>
      </c>
      <c r="B152" s="46"/>
      <c r="C152" s="46"/>
      <c r="D152" s="47"/>
      <c r="E152" s="46" t="str">
        <f t="shared" ca="1" si="14"/>
        <v/>
      </c>
      <c r="F152" s="46"/>
      <c r="G152" s="46"/>
      <c r="H152" s="46"/>
      <c r="I152" s="46"/>
      <c r="J152" s="46"/>
      <c r="K152" s="79" t="str">
        <f t="shared" si="17"/>
        <v/>
      </c>
      <c r="L152" s="48"/>
      <c r="M152" s="79"/>
      <c r="N152" s="48"/>
      <c r="O152" s="46"/>
      <c r="P152" s="47"/>
      <c r="Q152" s="46"/>
      <c r="R152" s="47"/>
      <c r="S152" s="46" t="str">
        <f t="shared" ca="1" si="15"/>
        <v/>
      </c>
      <c r="T152" s="52" t="str">
        <f t="shared" ca="1" si="16"/>
        <v/>
      </c>
    </row>
    <row r="153" spans="1:20" ht="15" customHeight="1">
      <c r="A153" s="49">
        <v>151</v>
      </c>
      <c r="B153" s="42"/>
      <c r="C153" s="42"/>
      <c r="D153" s="43"/>
      <c r="E153" s="42" t="str">
        <f t="shared" ca="1" si="14"/>
        <v/>
      </c>
      <c r="F153" s="42"/>
      <c r="G153" s="42"/>
      <c r="H153" s="42"/>
      <c r="I153" s="42"/>
      <c r="J153" s="42"/>
      <c r="K153" s="79" t="str">
        <f t="shared" si="17"/>
        <v/>
      </c>
      <c r="L153" s="48"/>
      <c r="M153" s="79"/>
      <c r="N153" s="48"/>
      <c r="O153" s="42"/>
      <c r="P153" s="43"/>
      <c r="Q153" s="42"/>
      <c r="R153" s="44"/>
      <c r="S153" s="45" t="str">
        <f t="shared" ca="1" si="15"/>
        <v/>
      </c>
      <c r="T153" s="50" t="str">
        <f t="shared" ca="1" si="16"/>
        <v/>
      </c>
    </row>
    <row r="154" spans="1:20" ht="15" customHeight="1">
      <c r="A154" s="51">
        <v>152</v>
      </c>
      <c r="B154" s="46"/>
      <c r="C154" s="46"/>
      <c r="D154" s="47"/>
      <c r="E154" s="46" t="str">
        <f t="shared" ca="1" si="14"/>
        <v/>
      </c>
      <c r="F154" s="46"/>
      <c r="G154" s="46"/>
      <c r="H154" s="46"/>
      <c r="I154" s="46"/>
      <c r="J154" s="46"/>
      <c r="K154" s="79" t="str">
        <f t="shared" si="17"/>
        <v/>
      </c>
      <c r="L154" s="48"/>
      <c r="M154" s="79"/>
      <c r="N154" s="48"/>
      <c r="O154" s="46"/>
      <c r="P154" s="47"/>
      <c r="Q154" s="46"/>
      <c r="R154" s="47"/>
      <c r="S154" s="46" t="str">
        <f t="shared" ca="1" si="15"/>
        <v/>
      </c>
      <c r="T154" s="52" t="str">
        <f t="shared" ca="1" si="16"/>
        <v/>
      </c>
    </row>
    <row r="155" spans="1:20" ht="15" customHeight="1">
      <c r="A155" s="49">
        <v>153</v>
      </c>
      <c r="B155" s="42"/>
      <c r="C155" s="42"/>
      <c r="D155" s="43"/>
      <c r="E155" s="42" t="str">
        <f t="shared" ca="1" si="14"/>
        <v/>
      </c>
      <c r="F155" s="42"/>
      <c r="G155" s="42"/>
      <c r="H155" s="42"/>
      <c r="I155" s="42"/>
      <c r="J155" s="42"/>
      <c r="K155" s="79" t="str">
        <f t="shared" si="17"/>
        <v/>
      </c>
      <c r="L155" s="48"/>
      <c r="M155" s="79"/>
      <c r="N155" s="48"/>
      <c r="O155" s="42"/>
      <c r="P155" s="43"/>
      <c r="Q155" s="42"/>
      <c r="R155" s="44"/>
      <c r="S155" s="45" t="str">
        <f t="shared" ca="1" si="15"/>
        <v/>
      </c>
      <c r="T155" s="50" t="str">
        <f t="shared" ca="1" si="16"/>
        <v/>
      </c>
    </row>
    <row r="156" spans="1:20" ht="15" customHeight="1">
      <c r="A156" s="51">
        <v>154</v>
      </c>
      <c r="B156" s="46"/>
      <c r="C156" s="46"/>
      <c r="D156" s="47"/>
      <c r="E156" s="46" t="str">
        <f t="shared" ca="1" si="14"/>
        <v/>
      </c>
      <c r="F156" s="46"/>
      <c r="G156" s="46"/>
      <c r="H156" s="46"/>
      <c r="I156" s="46"/>
      <c r="J156" s="46"/>
      <c r="K156" s="79" t="str">
        <f t="shared" si="17"/>
        <v/>
      </c>
      <c r="L156" s="48"/>
      <c r="M156" s="79"/>
      <c r="N156" s="48"/>
      <c r="O156" s="46"/>
      <c r="P156" s="47"/>
      <c r="Q156" s="46"/>
      <c r="R156" s="47"/>
      <c r="S156" s="46" t="str">
        <f t="shared" ca="1" si="15"/>
        <v/>
      </c>
      <c r="T156" s="52" t="str">
        <f t="shared" ca="1" si="16"/>
        <v/>
      </c>
    </row>
    <row r="157" spans="1:20" ht="15" customHeight="1">
      <c r="A157" s="49">
        <v>155</v>
      </c>
      <c r="B157" s="42"/>
      <c r="C157" s="42"/>
      <c r="D157" s="43"/>
      <c r="E157" s="42" t="str">
        <f t="shared" ca="1" si="14"/>
        <v/>
      </c>
      <c r="F157" s="42"/>
      <c r="G157" s="42"/>
      <c r="H157" s="42"/>
      <c r="I157" s="42"/>
      <c r="J157" s="42"/>
      <c r="K157" s="79" t="str">
        <f t="shared" si="17"/>
        <v/>
      </c>
      <c r="L157" s="48"/>
      <c r="M157" s="79"/>
      <c r="N157" s="48"/>
      <c r="O157" s="42"/>
      <c r="P157" s="43"/>
      <c r="Q157" s="42"/>
      <c r="R157" s="44"/>
      <c r="S157" s="45" t="str">
        <f t="shared" ca="1" si="15"/>
        <v/>
      </c>
      <c r="T157" s="50" t="str">
        <f t="shared" ca="1" si="16"/>
        <v/>
      </c>
    </row>
    <row r="158" spans="1:20" ht="15" customHeight="1">
      <c r="A158" s="51">
        <v>156</v>
      </c>
      <c r="B158" s="46"/>
      <c r="C158" s="46"/>
      <c r="D158" s="47"/>
      <c r="E158" s="46" t="str">
        <f t="shared" ca="1" si="14"/>
        <v/>
      </c>
      <c r="F158" s="46"/>
      <c r="G158" s="46"/>
      <c r="H158" s="46"/>
      <c r="I158" s="46"/>
      <c r="J158" s="46"/>
      <c r="K158" s="79" t="str">
        <f t="shared" si="17"/>
        <v/>
      </c>
      <c r="L158" s="48"/>
      <c r="M158" s="79"/>
      <c r="N158" s="48"/>
      <c r="O158" s="46"/>
      <c r="P158" s="47"/>
      <c r="Q158" s="46"/>
      <c r="R158" s="47"/>
      <c r="S158" s="46" t="str">
        <f t="shared" ca="1" si="15"/>
        <v/>
      </c>
      <c r="T158" s="52" t="str">
        <f t="shared" ca="1" si="16"/>
        <v/>
      </c>
    </row>
    <row r="159" spans="1:20" ht="15" customHeight="1">
      <c r="A159" s="49">
        <v>157</v>
      </c>
      <c r="B159" s="42"/>
      <c r="C159" s="42"/>
      <c r="D159" s="43"/>
      <c r="E159" s="42" t="str">
        <f t="shared" ca="1" si="14"/>
        <v/>
      </c>
      <c r="F159" s="42"/>
      <c r="G159" s="42"/>
      <c r="H159" s="42"/>
      <c r="I159" s="42"/>
      <c r="J159" s="42"/>
      <c r="K159" s="79" t="str">
        <f t="shared" si="17"/>
        <v/>
      </c>
      <c r="L159" s="48"/>
      <c r="M159" s="79"/>
      <c r="N159" s="48"/>
      <c r="O159" s="42"/>
      <c r="P159" s="43"/>
      <c r="Q159" s="42"/>
      <c r="R159" s="44"/>
      <c r="S159" s="45" t="str">
        <f t="shared" ca="1" si="15"/>
        <v/>
      </c>
      <c r="T159" s="50" t="str">
        <f t="shared" ca="1" si="16"/>
        <v/>
      </c>
    </row>
    <row r="160" spans="1:20" ht="15" customHeight="1">
      <c r="A160" s="51">
        <v>158</v>
      </c>
      <c r="B160" s="46"/>
      <c r="C160" s="46"/>
      <c r="D160" s="47"/>
      <c r="E160" s="46" t="str">
        <f t="shared" ca="1" si="14"/>
        <v/>
      </c>
      <c r="F160" s="46"/>
      <c r="G160" s="46"/>
      <c r="H160" s="46"/>
      <c r="I160" s="46"/>
      <c r="J160" s="46"/>
      <c r="K160" s="79" t="str">
        <f t="shared" si="17"/>
        <v/>
      </c>
      <c r="L160" s="48"/>
      <c r="M160" s="79"/>
      <c r="N160" s="48"/>
      <c r="O160" s="46"/>
      <c r="P160" s="47"/>
      <c r="Q160" s="46"/>
      <c r="R160" s="47"/>
      <c r="S160" s="46" t="str">
        <f t="shared" ca="1" si="15"/>
        <v/>
      </c>
      <c r="T160" s="52" t="str">
        <f t="shared" ca="1" si="16"/>
        <v/>
      </c>
    </row>
    <row r="161" spans="1:20" ht="15" customHeight="1">
      <c r="A161" s="49">
        <v>159</v>
      </c>
      <c r="B161" s="42"/>
      <c r="C161" s="42"/>
      <c r="D161" s="43"/>
      <c r="E161" s="42" t="str">
        <f t="shared" ca="1" si="14"/>
        <v/>
      </c>
      <c r="F161" s="42"/>
      <c r="G161" s="42"/>
      <c r="H161" s="42"/>
      <c r="I161" s="42"/>
      <c r="J161" s="42"/>
      <c r="K161" s="79" t="str">
        <f t="shared" si="17"/>
        <v/>
      </c>
      <c r="L161" s="48"/>
      <c r="M161" s="79"/>
      <c r="N161" s="48"/>
      <c r="O161" s="42"/>
      <c r="P161" s="43"/>
      <c r="Q161" s="42"/>
      <c r="R161" s="44"/>
      <c r="S161" s="45" t="str">
        <f t="shared" ca="1" si="15"/>
        <v/>
      </c>
      <c r="T161" s="50" t="str">
        <f t="shared" ca="1" si="16"/>
        <v/>
      </c>
    </row>
    <row r="162" spans="1:20" ht="15" customHeight="1">
      <c r="A162" s="51">
        <v>160</v>
      </c>
      <c r="B162" s="46"/>
      <c r="C162" s="46"/>
      <c r="D162" s="47"/>
      <c r="E162" s="46" t="str">
        <f t="shared" ca="1" si="14"/>
        <v/>
      </c>
      <c r="F162" s="46"/>
      <c r="G162" s="46"/>
      <c r="H162" s="46"/>
      <c r="I162" s="46"/>
      <c r="J162" s="46"/>
      <c r="K162" s="79" t="str">
        <f t="shared" si="17"/>
        <v/>
      </c>
      <c r="L162" s="48"/>
      <c r="M162" s="79"/>
      <c r="N162" s="48"/>
      <c r="O162" s="46"/>
      <c r="P162" s="47"/>
      <c r="Q162" s="46"/>
      <c r="R162" s="47"/>
      <c r="S162" s="46" t="str">
        <f t="shared" ca="1" si="15"/>
        <v/>
      </c>
      <c r="T162" s="52" t="str">
        <f t="shared" ca="1" si="16"/>
        <v/>
      </c>
    </row>
    <row r="163" spans="1:20" ht="15" customHeight="1">
      <c r="A163" s="49">
        <v>161</v>
      </c>
      <c r="B163" s="42"/>
      <c r="C163" s="42"/>
      <c r="D163" s="43"/>
      <c r="E163" s="42" t="str">
        <f t="shared" ref="E163:E194" ca="1" si="18">IF(D163="","",DATEDIF(D163,TODAY(),"Y"))</f>
        <v/>
      </c>
      <c r="F163" s="42"/>
      <c r="G163" s="42"/>
      <c r="H163" s="42"/>
      <c r="I163" s="42"/>
      <c r="J163" s="42"/>
      <c r="K163" s="79" t="str">
        <f t="shared" si="17"/>
        <v/>
      </c>
      <c r="L163" s="48"/>
      <c r="M163" s="79"/>
      <c r="N163" s="48"/>
      <c r="O163" s="42"/>
      <c r="P163" s="43"/>
      <c r="Q163" s="42"/>
      <c r="R163" s="44"/>
      <c r="S163" s="45" t="str">
        <f t="shared" ref="S163:S194" ca="1" si="19">IF(OR(B163="",R163="",O163="Payé"),"",MAX(0,TODAY()-R163))</f>
        <v/>
      </c>
      <c r="T163" s="50" t="str">
        <f t="shared" ref="T163:T194" ca="1" si="20">IF(B163="","",IF(O163="Payé","✅ À jour",IF(R163="","⏳ Pas de date",IF(TODAY()&gt;R163,"🔴 En retard",IF(R163-TODAY()&lt;=7,"🟡 Bientôt dû","🟢 Dans les temps")))))</f>
        <v/>
      </c>
    </row>
    <row r="164" spans="1:20" ht="15" customHeight="1">
      <c r="A164" s="51">
        <v>162</v>
      </c>
      <c r="B164" s="46"/>
      <c r="C164" s="46"/>
      <c r="D164" s="47"/>
      <c r="E164" s="46" t="str">
        <f t="shared" ca="1" si="18"/>
        <v/>
      </c>
      <c r="F164" s="46"/>
      <c r="G164" s="46"/>
      <c r="H164" s="46"/>
      <c r="I164" s="46"/>
      <c r="J164" s="46"/>
      <c r="K164" s="79" t="str">
        <f t="shared" si="17"/>
        <v/>
      </c>
      <c r="L164" s="48"/>
      <c r="M164" s="79"/>
      <c r="N164" s="48"/>
      <c r="O164" s="46"/>
      <c r="P164" s="47"/>
      <c r="Q164" s="46"/>
      <c r="R164" s="47"/>
      <c r="S164" s="46" t="str">
        <f t="shared" ca="1" si="19"/>
        <v/>
      </c>
      <c r="T164" s="52" t="str">
        <f t="shared" ca="1" si="20"/>
        <v/>
      </c>
    </row>
    <row r="165" spans="1:20" ht="15" customHeight="1">
      <c r="A165" s="49">
        <v>163</v>
      </c>
      <c r="B165" s="42"/>
      <c r="C165" s="42"/>
      <c r="D165" s="43"/>
      <c r="E165" s="42" t="str">
        <f t="shared" ca="1" si="18"/>
        <v/>
      </c>
      <c r="F165" s="42"/>
      <c r="G165" s="42"/>
      <c r="H165" s="42"/>
      <c r="I165" s="42"/>
      <c r="J165" s="42"/>
      <c r="K165" s="79" t="str">
        <f t="shared" si="17"/>
        <v/>
      </c>
      <c r="L165" s="48"/>
      <c r="M165" s="79"/>
      <c r="N165" s="48"/>
      <c r="O165" s="42"/>
      <c r="P165" s="43"/>
      <c r="Q165" s="42"/>
      <c r="R165" s="44"/>
      <c r="S165" s="45" t="str">
        <f t="shared" ca="1" si="19"/>
        <v/>
      </c>
      <c r="T165" s="50" t="str">
        <f t="shared" ca="1" si="20"/>
        <v/>
      </c>
    </row>
    <row r="166" spans="1:20" ht="15" customHeight="1">
      <c r="A166" s="51">
        <v>164</v>
      </c>
      <c r="B166" s="46"/>
      <c r="C166" s="46"/>
      <c r="D166" s="47"/>
      <c r="E166" s="46" t="str">
        <f t="shared" ca="1" si="18"/>
        <v/>
      </c>
      <c r="F166" s="46"/>
      <c r="G166" s="46"/>
      <c r="H166" s="46"/>
      <c r="I166" s="46"/>
      <c r="J166" s="46"/>
      <c r="K166" s="79" t="str">
        <f t="shared" si="17"/>
        <v/>
      </c>
      <c r="L166" s="48"/>
      <c r="M166" s="79"/>
      <c r="N166" s="48"/>
      <c r="O166" s="46"/>
      <c r="P166" s="47"/>
      <c r="Q166" s="46"/>
      <c r="R166" s="47"/>
      <c r="S166" s="46" t="str">
        <f t="shared" ca="1" si="19"/>
        <v/>
      </c>
      <c r="T166" s="52" t="str">
        <f t="shared" ca="1" si="20"/>
        <v/>
      </c>
    </row>
    <row r="167" spans="1:20" ht="15" customHeight="1">
      <c r="A167" s="49">
        <v>165</v>
      </c>
      <c r="B167" s="42"/>
      <c r="C167" s="42"/>
      <c r="D167" s="43"/>
      <c r="E167" s="42" t="str">
        <f t="shared" ca="1" si="18"/>
        <v/>
      </c>
      <c r="F167" s="42"/>
      <c r="G167" s="42"/>
      <c r="H167" s="42"/>
      <c r="I167" s="42"/>
      <c r="J167" s="42"/>
      <c r="K167" s="79" t="str">
        <f t="shared" si="17"/>
        <v/>
      </c>
      <c r="L167" s="48"/>
      <c r="M167" s="79"/>
      <c r="N167" s="48"/>
      <c r="O167" s="42"/>
      <c r="P167" s="43"/>
      <c r="Q167" s="42"/>
      <c r="R167" s="44"/>
      <c r="S167" s="45" t="str">
        <f t="shared" ca="1" si="19"/>
        <v/>
      </c>
      <c r="T167" s="50" t="str">
        <f t="shared" ca="1" si="20"/>
        <v/>
      </c>
    </row>
    <row r="168" spans="1:20" ht="15" customHeight="1">
      <c r="A168" s="51">
        <v>166</v>
      </c>
      <c r="B168" s="46"/>
      <c r="C168" s="46"/>
      <c r="D168" s="47"/>
      <c r="E168" s="46" t="str">
        <f t="shared" ca="1" si="18"/>
        <v/>
      </c>
      <c r="F168" s="46"/>
      <c r="G168" s="46"/>
      <c r="H168" s="46"/>
      <c r="I168" s="46"/>
      <c r="J168" s="46"/>
      <c r="K168" s="79" t="str">
        <f t="shared" si="17"/>
        <v/>
      </c>
      <c r="L168" s="48"/>
      <c r="M168" s="79"/>
      <c r="N168" s="48"/>
      <c r="O168" s="46"/>
      <c r="P168" s="47"/>
      <c r="Q168" s="46"/>
      <c r="R168" s="47"/>
      <c r="S168" s="46" t="str">
        <f t="shared" ca="1" si="19"/>
        <v/>
      </c>
      <c r="T168" s="52" t="str">
        <f t="shared" ca="1" si="20"/>
        <v/>
      </c>
    </row>
    <row r="169" spans="1:20" ht="15" customHeight="1">
      <c r="A169" s="49">
        <v>167</v>
      </c>
      <c r="B169" s="42"/>
      <c r="C169" s="42"/>
      <c r="D169" s="43"/>
      <c r="E169" s="42" t="str">
        <f t="shared" ca="1" si="18"/>
        <v/>
      </c>
      <c r="F169" s="42"/>
      <c r="G169" s="42"/>
      <c r="H169" s="42"/>
      <c r="I169" s="42"/>
      <c r="J169" s="42"/>
      <c r="K169" s="79" t="str">
        <f t="shared" si="17"/>
        <v/>
      </c>
      <c r="L169" s="48"/>
      <c r="M169" s="79"/>
      <c r="N169" s="48"/>
      <c r="O169" s="42"/>
      <c r="P169" s="43"/>
      <c r="Q169" s="42"/>
      <c r="R169" s="44"/>
      <c r="S169" s="45" t="str">
        <f t="shared" ca="1" si="19"/>
        <v/>
      </c>
      <c r="T169" s="50" t="str">
        <f t="shared" ca="1" si="20"/>
        <v/>
      </c>
    </row>
    <row r="170" spans="1:20" ht="15" customHeight="1">
      <c r="A170" s="51">
        <v>168</v>
      </c>
      <c r="B170" s="46"/>
      <c r="C170" s="46"/>
      <c r="D170" s="47"/>
      <c r="E170" s="46" t="str">
        <f t="shared" ca="1" si="18"/>
        <v/>
      </c>
      <c r="F170" s="46"/>
      <c r="G170" s="46"/>
      <c r="H170" s="46"/>
      <c r="I170" s="46"/>
      <c r="J170" s="46"/>
      <c r="K170" s="79" t="str">
        <f t="shared" si="17"/>
        <v/>
      </c>
      <c r="L170" s="48"/>
      <c r="M170" s="79"/>
      <c r="N170" s="48"/>
      <c r="O170" s="46"/>
      <c r="P170" s="47"/>
      <c r="Q170" s="46"/>
      <c r="R170" s="47"/>
      <c r="S170" s="46" t="str">
        <f t="shared" ca="1" si="19"/>
        <v/>
      </c>
      <c r="T170" s="52" t="str">
        <f t="shared" ca="1" si="20"/>
        <v/>
      </c>
    </row>
    <row r="171" spans="1:20" ht="15" customHeight="1">
      <c r="A171" s="49">
        <v>169</v>
      </c>
      <c r="B171" s="42"/>
      <c r="C171" s="42"/>
      <c r="D171" s="43"/>
      <c r="E171" s="42" t="str">
        <f t="shared" ca="1" si="18"/>
        <v/>
      </c>
      <c r="F171" s="42"/>
      <c r="G171" s="42"/>
      <c r="H171" s="42"/>
      <c r="I171" s="42"/>
      <c r="J171" s="42"/>
      <c r="K171" s="79" t="str">
        <f t="shared" si="17"/>
        <v/>
      </c>
      <c r="L171" s="48"/>
      <c r="M171" s="79"/>
      <c r="N171" s="48"/>
      <c r="O171" s="42"/>
      <c r="P171" s="43"/>
      <c r="Q171" s="42"/>
      <c r="R171" s="44"/>
      <c r="S171" s="45" t="str">
        <f t="shared" ca="1" si="19"/>
        <v/>
      </c>
      <c r="T171" s="50" t="str">
        <f t="shared" ca="1" si="20"/>
        <v/>
      </c>
    </row>
    <row r="172" spans="1:20" ht="15" customHeight="1">
      <c r="A172" s="51">
        <v>170</v>
      </c>
      <c r="B172" s="46"/>
      <c r="C172" s="46"/>
      <c r="D172" s="47"/>
      <c r="E172" s="46" t="str">
        <f t="shared" ca="1" si="18"/>
        <v/>
      </c>
      <c r="F172" s="46"/>
      <c r="G172" s="46"/>
      <c r="H172" s="46"/>
      <c r="I172" s="46"/>
      <c r="J172" s="46"/>
      <c r="K172" s="79" t="str">
        <f t="shared" si="17"/>
        <v/>
      </c>
      <c r="L172" s="48"/>
      <c r="M172" s="79"/>
      <c r="N172" s="48"/>
      <c r="O172" s="46"/>
      <c r="P172" s="47"/>
      <c r="Q172" s="46"/>
      <c r="R172" s="47"/>
      <c r="S172" s="46" t="str">
        <f t="shared" ca="1" si="19"/>
        <v/>
      </c>
      <c r="T172" s="52" t="str">
        <f t="shared" ca="1" si="20"/>
        <v/>
      </c>
    </row>
    <row r="173" spans="1:20" ht="15" customHeight="1">
      <c r="A173" s="49">
        <v>171</v>
      </c>
      <c r="B173" s="42"/>
      <c r="C173" s="42"/>
      <c r="D173" s="43"/>
      <c r="E173" s="42" t="str">
        <f t="shared" ca="1" si="18"/>
        <v/>
      </c>
      <c r="F173" s="42"/>
      <c r="G173" s="42"/>
      <c r="H173" s="42"/>
      <c r="I173" s="42"/>
      <c r="J173" s="42"/>
      <c r="K173" s="79" t="str">
        <f t="shared" si="17"/>
        <v/>
      </c>
      <c r="L173" s="48"/>
      <c r="M173" s="79"/>
      <c r="N173" s="48"/>
      <c r="O173" s="42"/>
      <c r="P173" s="43"/>
      <c r="Q173" s="42"/>
      <c r="R173" s="44"/>
      <c r="S173" s="45" t="str">
        <f t="shared" ca="1" si="19"/>
        <v/>
      </c>
      <c r="T173" s="50" t="str">
        <f t="shared" ca="1" si="20"/>
        <v/>
      </c>
    </row>
    <row r="174" spans="1:20" ht="15" customHeight="1">
      <c r="A174" s="51">
        <v>172</v>
      </c>
      <c r="B174" s="46"/>
      <c r="C174" s="46"/>
      <c r="D174" s="47"/>
      <c r="E174" s="46" t="str">
        <f t="shared" ca="1" si="18"/>
        <v/>
      </c>
      <c r="F174" s="46"/>
      <c r="G174" s="46"/>
      <c r="H174" s="46"/>
      <c r="I174" s="46"/>
      <c r="J174" s="46"/>
      <c r="K174" s="79" t="str">
        <f t="shared" si="17"/>
        <v/>
      </c>
      <c r="L174" s="48"/>
      <c r="M174" s="79"/>
      <c r="N174" s="48"/>
      <c r="O174" s="46"/>
      <c r="P174" s="47"/>
      <c r="Q174" s="46"/>
      <c r="R174" s="47"/>
      <c r="S174" s="46" t="str">
        <f t="shared" ca="1" si="19"/>
        <v/>
      </c>
      <c r="T174" s="52" t="str">
        <f t="shared" ca="1" si="20"/>
        <v/>
      </c>
    </row>
    <row r="175" spans="1:20" ht="15" customHeight="1">
      <c r="A175" s="49">
        <v>173</v>
      </c>
      <c r="B175" s="42"/>
      <c r="C175" s="42"/>
      <c r="D175" s="43"/>
      <c r="E175" s="42" t="str">
        <f t="shared" ca="1" si="18"/>
        <v/>
      </c>
      <c r="F175" s="42"/>
      <c r="G175" s="42"/>
      <c r="H175" s="42"/>
      <c r="I175" s="42"/>
      <c r="J175" s="42"/>
      <c r="K175" s="79" t="str">
        <f t="shared" si="17"/>
        <v/>
      </c>
      <c r="L175" s="48"/>
      <c r="M175" s="79"/>
      <c r="N175" s="48"/>
      <c r="O175" s="42"/>
      <c r="P175" s="43"/>
      <c r="Q175" s="42"/>
      <c r="R175" s="44"/>
      <c r="S175" s="45" t="str">
        <f t="shared" ca="1" si="19"/>
        <v/>
      </c>
      <c r="T175" s="50" t="str">
        <f t="shared" ca="1" si="20"/>
        <v/>
      </c>
    </row>
    <row r="176" spans="1:20" ht="15" customHeight="1">
      <c r="A176" s="51">
        <v>174</v>
      </c>
      <c r="B176" s="46"/>
      <c r="C176" s="46"/>
      <c r="D176" s="47"/>
      <c r="E176" s="46" t="str">
        <f t="shared" ca="1" si="18"/>
        <v/>
      </c>
      <c r="F176" s="46"/>
      <c r="G176" s="46"/>
      <c r="H176" s="46"/>
      <c r="I176" s="46"/>
      <c r="J176" s="46"/>
      <c r="K176" s="79" t="str">
        <f t="shared" si="17"/>
        <v/>
      </c>
      <c r="L176" s="48"/>
      <c r="M176" s="79"/>
      <c r="N176" s="48"/>
      <c r="O176" s="46"/>
      <c r="P176" s="47"/>
      <c r="Q176" s="46"/>
      <c r="R176" s="47"/>
      <c r="S176" s="46" t="str">
        <f t="shared" ca="1" si="19"/>
        <v/>
      </c>
      <c r="T176" s="52" t="str">
        <f t="shared" ca="1" si="20"/>
        <v/>
      </c>
    </row>
    <row r="177" spans="1:20" ht="15" customHeight="1">
      <c r="A177" s="49">
        <v>175</v>
      </c>
      <c r="B177" s="42"/>
      <c r="C177" s="42"/>
      <c r="D177" s="43"/>
      <c r="E177" s="42" t="str">
        <f t="shared" ca="1" si="18"/>
        <v/>
      </c>
      <c r="F177" s="42"/>
      <c r="G177" s="42"/>
      <c r="H177" s="42"/>
      <c r="I177" s="42"/>
      <c r="J177" s="42"/>
      <c r="K177" s="79" t="str">
        <f t="shared" si="17"/>
        <v/>
      </c>
      <c r="L177" s="48"/>
      <c r="M177" s="79"/>
      <c r="N177" s="48"/>
      <c r="O177" s="42"/>
      <c r="P177" s="43"/>
      <c r="Q177" s="42"/>
      <c r="R177" s="44"/>
      <c r="S177" s="45" t="str">
        <f t="shared" ca="1" si="19"/>
        <v/>
      </c>
      <c r="T177" s="50" t="str">
        <f t="shared" ca="1" si="20"/>
        <v/>
      </c>
    </row>
    <row r="178" spans="1:20" ht="15" customHeight="1">
      <c r="A178" s="51">
        <v>176</v>
      </c>
      <c r="B178" s="46"/>
      <c r="C178" s="46"/>
      <c r="D178" s="47"/>
      <c r="E178" s="46" t="str">
        <f t="shared" ca="1" si="18"/>
        <v/>
      </c>
      <c r="F178" s="46"/>
      <c r="G178" s="46"/>
      <c r="H178" s="46"/>
      <c r="I178" s="46"/>
      <c r="J178" s="46"/>
      <c r="K178" s="79" t="str">
        <f t="shared" si="17"/>
        <v/>
      </c>
      <c r="L178" s="48"/>
      <c r="M178" s="79"/>
      <c r="N178" s="48"/>
      <c r="O178" s="46"/>
      <c r="P178" s="47"/>
      <c r="Q178" s="46"/>
      <c r="R178" s="47"/>
      <c r="S178" s="46" t="str">
        <f t="shared" ca="1" si="19"/>
        <v/>
      </c>
      <c r="T178" s="52" t="str">
        <f t="shared" ca="1" si="20"/>
        <v/>
      </c>
    </row>
    <row r="179" spans="1:20" ht="15" customHeight="1">
      <c r="A179" s="49">
        <v>177</v>
      </c>
      <c r="B179" s="42"/>
      <c r="C179" s="42"/>
      <c r="D179" s="43"/>
      <c r="E179" s="42" t="str">
        <f t="shared" ca="1" si="18"/>
        <v/>
      </c>
      <c r="F179" s="42"/>
      <c r="G179" s="42"/>
      <c r="H179" s="42"/>
      <c r="I179" s="42"/>
      <c r="J179" s="42"/>
      <c r="K179" s="79" t="str">
        <f t="shared" si="17"/>
        <v/>
      </c>
      <c r="L179" s="48"/>
      <c r="M179" s="79"/>
      <c r="N179" s="48"/>
      <c r="O179" s="42"/>
      <c r="P179" s="43"/>
      <c r="Q179" s="42"/>
      <c r="R179" s="44"/>
      <c r="S179" s="45" t="str">
        <f t="shared" ca="1" si="19"/>
        <v/>
      </c>
      <c r="T179" s="50" t="str">
        <f t="shared" ca="1" si="20"/>
        <v/>
      </c>
    </row>
    <row r="180" spans="1:20" ht="15" customHeight="1">
      <c r="A180" s="51">
        <v>178</v>
      </c>
      <c r="B180" s="46"/>
      <c r="C180" s="46"/>
      <c r="D180" s="47"/>
      <c r="E180" s="46" t="str">
        <f t="shared" ca="1" si="18"/>
        <v/>
      </c>
      <c r="F180" s="46"/>
      <c r="G180" s="46"/>
      <c r="H180" s="46"/>
      <c r="I180" s="46"/>
      <c r="J180" s="46"/>
      <c r="K180" s="79" t="str">
        <f t="shared" si="17"/>
        <v/>
      </c>
      <c r="L180" s="48"/>
      <c r="M180" s="79"/>
      <c r="N180" s="48"/>
      <c r="O180" s="46"/>
      <c r="P180" s="47"/>
      <c r="Q180" s="46"/>
      <c r="R180" s="47"/>
      <c r="S180" s="46" t="str">
        <f t="shared" ca="1" si="19"/>
        <v/>
      </c>
      <c r="T180" s="52" t="str">
        <f t="shared" ca="1" si="20"/>
        <v/>
      </c>
    </row>
    <row r="181" spans="1:20" ht="15" customHeight="1">
      <c r="A181" s="49">
        <v>179</v>
      </c>
      <c r="B181" s="42"/>
      <c r="C181" s="42"/>
      <c r="D181" s="43"/>
      <c r="E181" s="42" t="str">
        <f t="shared" ca="1" si="18"/>
        <v/>
      </c>
      <c r="F181" s="42"/>
      <c r="G181" s="42"/>
      <c r="H181" s="42"/>
      <c r="I181" s="42"/>
      <c r="J181" s="42"/>
      <c r="K181" s="79" t="str">
        <f t="shared" si="17"/>
        <v/>
      </c>
      <c r="L181" s="48"/>
      <c r="M181" s="79"/>
      <c r="N181" s="48"/>
      <c r="O181" s="42"/>
      <c r="P181" s="43"/>
      <c r="Q181" s="42"/>
      <c r="R181" s="44"/>
      <c r="S181" s="45" t="str">
        <f t="shared" ca="1" si="19"/>
        <v/>
      </c>
      <c r="T181" s="50" t="str">
        <f t="shared" ca="1" si="20"/>
        <v/>
      </c>
    </row>
    <row r="182" spans="1:20" ht="15" customHeight="1">
      <c r="A182" s="51">
        <v>180</v>
      </c>
      <c r="B182" s="46"/>
      <c r="C182" s="46"/>
      <c r="D182" s="47"/>
      <c r="E182" s="46" t="str">
        <f t="shared" ca="1" si="18"/>
        <v/>
      </c>
      <c r="F182" s="46"/>
      <c r="G182" s="46"/>
      <c r="H182" s="46"/>
      <c r="I182" s="46"/>
      <c r="J182" s="46"/>
      <c r="K182" s="79" t="str">
        <f t="shared" si="17"/>
        <v/>
      </c>
      <c r="L182" s="48"/>
      <c r="M182" s="79"/>
      <c r="N182" s="48"/>
      <c r="O182" s="46"/>
      <c r="P182" s="47"/>
      <c r="Q182" s="46"/>
      <c r="R182" s="47"/>
      <c r="S182" s="46" t="str">
        <f t="shared" ca="1" si="19"/>
        <v/>
      </c>
      <c r="T182" s="52" t="str">
        <f t="shared" ca="1" si="20"/>
        <v/>
      </c>
    </row>
    <row r="183" spans="1:20" ht="15" customHeight="1">
      <c r="A183" s="49">
        <v>181</v>
      </c>
      <c r="B183" s="42"/>
      <c r="C183" s="42"/>
      <c r="D183" s="43"/>
      <c r="E183" s="42" t="str">
        <f t="shared" ca="1" si="18"/>
        <v/>
      </c>
      <c r="F183" s="42"/>
      <c r="G183" s="42"/>
      <c r="H183" s="42"/>
      <c r="I183" s="42"/>
      <c r="J183" s="42"/>
      <c r="K183" s="79" t="str">
        <f t="shared" si="17"/>
        <v/>
      </c>
      <c r="L183" s="48"/>
      <c r="M183" s="79"/>
      <c r="N183" s="48"/>
      <c r="O183" s="42"/>
      <c r="P183" s="43"/>
      <c r="Q183" s="42"/>
      <c r="R183" s="44"/>
      <c r="S183" s="45" t="str">
        <f t="shared" ca="1" si="19"/>
        <v/>
      </c>
      <c r="T183" s="50" t="str">
        <f t="shared" ca="1" si="20"/>
        <v/>
      </c>
    </row>
    <row r="184" spans="1:20" ht="15" customHeight="1">
      <c r="A184" s="51">
        <v>182</v>
      </c>
      <c r="B184" s="46"/>
      <c r="C184" s="46"/>
      <c r="D184" s="47"/>
      <c r="E184" s="46" t="str">
        <f t="shared" ca="1" si="18"/>
        <v/>
      </c>
      <c r="F184" s="46"/>
      <c r="G184" s="46"/>
      <c r="H184" s="46"/>
      <c r="I184" s="46"/>
      <c r="J184" s="46"/>
      <c r="K184" s="79" t="str">
        <f t="shared" si="17"/>
        <v/>
      </c>
      <c r="L184" s="48"/>
      <c r="M184" s="79"/>
      <c r="N184" s="48"/>
      <c r="O184" s="46"/>
      <c r="P184" s="47"/>
      <c r="Q184" s="46"/>
      <c r="R184" s="47"/>
      <c r="S184" s="46" t="str">
        <f t="shared" ca="1" si="19"/>
        <v/>
      </c>
      <c r="T184" s="52" t="str">
        <f t="shared" ca="1" si="20"/>
        <v/>
      </c>
    </row>
    <row r="185" spans="1:20" ht="15" customHeight="1">
      <c r="A185" s="49">
        <v>183</v>
      </c>
      <c r="B185" s="42"/>
      <c r="C185" s="42"/>
      <c r="D185" s="43"/>
      <c r="E185" s="42" t="str">
        <f t="shared" ca="1" si="18"/>
        <v/>
      </c>
      <c r="F185" s="42"/>
      <c r="G185" s="42"/>
      <c r="H185" s="42"/>
      <c r="I185" s="42"/>
      <c r="J185" s="42"/>
      <c r="K185" s="79" t="str">
        <f t="shared" si="17"/>
        <v/>
      </c>
      <c r="L185" s="48"/>
      <c r="M185" s="79"/>
      <c r="N185" s="48"/>
      <c r="O185" s="42"/>
      <c r="P185" s="43"/>
      <c r="Q185" s="42"/>
      <c r="R185" s="44"/>
      <c r="S185" s="45" t="str">
        <f t="shared" ca="1" si="19"/>
        <v/>
      </c>
      <c r="T185" s="50" t="str">
        <f t="shared" ca="1" si="20"/>
        <v/>
      </c>
    </row>
    <row r="186" spans="1:20" ht="15" customHeight="1">
      <c r="A186" s="51">
        <v>184</v>
      </c>
      <c r="B186" s="46"/>
      <c r="C186" s="46"/>
      <c r="D186" s="47"/>
      <c r="E186" s="46" t="str">
        <f t="shared" ca="1" si="18"/>
        <v/>
      </c>
      <c r="F186" s="46"/>
      <c r="G186" s="46"/>
      <c r="H186" s="46"/>
      <c r="I186" s="46"/>
      <c r="J186" s="46"/>
      <c r="K186" s="79" t="str">
        <f t="shared" si="17"/>
        <v/>
      </c>
      <c r="L186" s="48"/>
      <c r="M186" s="79"/>
      <c r="N186" s="48"/>
      <c r="O186" s="46"/>
      <c r="P186" s="47"/>
      <c r="Q186" s="46"/>
      <c r="R186" s="47"/>
      <c r="S186" s="46" t="str">
        <f t="shared" ca="1" si="19"/>
        <v/>
      </c>
      <c r="T186" s="52" t="str">
        <f t="shared" ca="1" si="20"/>
        <v/>
      </c>
    </row>
    <row r="187" spans="1:20" ht="15" customHeight="1">
      <c r="A187" s="49">
        <v>185</v>
      </c>
      <c r="B187" s="42"/>
      <c r="C187" s="42"/>
      <c r="D187" s="43"/>
      <c r="E187" s="42" t="str">
        <f t="shared" ca="1" si="18"/>
        <v/>
      </c>
      <c r="F187" s="42"/>
      <c r="G187" s="42"/>
      <c r="H187" s="42"/>
      <c r="I187" s="42"/>
      <c r="J187" s="42"/>
      <c r="K187" s="79" t="str">
        <f t="shared" si="17"/>
        <v/>
      </c>
      <c r="L187" s="48"/>
      <c r="M187" s="79"/>
      <c r="N187" s="48"/>
      <c r="O187" s="42"/>
      <c r="P187" s="43"/>
      <c r="Q187" s="42"/>
      <c r="R187" s="44"/>
      <c r="S187" s="45" t="str">
        <f t="shared" ca="1" si="19"/>
        <v/>
      </c>
      <c r="T187" s="50" t="str">
        <f t="shared" ca="1" si="20"/>
        <v/>
      </c>
    </row>
    <row r="188" spans="1:20" ht="15" customHeight="1">
      <c r="A188" s="51">
        <v>186</v>
      </c>
      <c r="B188" s="46"/>
      <c r="C188" s="46"/>
      <c r="D188" s="47"/>
      <c r="E188" s="46" t="str">
        <f t="shared" ca="1" si="18"/>
        <v/>
      </c>
      <c r="F188" s="46"/>
      <c r="G188" s="46"/>
      <c r="H188" s="46"/>
      <c r="I188" s="46"/>
      <c r="J188" s="46"/>
      <c r="K188" s="79" t="str">
        <f t="shared" si="17"/>
        <v/>
      </c>
      <c r="L188" s="48"/>
      <c r="M188" s="79"/>
      <c r="N188" s="48"/>
      <c r="O188" s="46"/>
      <c r="P188" s="47"/>
      <c r="Q188" s="46"/>
      <c r="R188" s="47"/>
      <c r="S188" s="46" t="str">
        <f t="shared" ca="1" si="19"/>
        <v/>
      </c>
      <c r="T188" s="52" t="str">
        <f t="shared" ca="1" si="20"/>
        <v/>
      </c>
    </row>
    <row r="189" spans="1:20" ht="15" customHeight="1">
      <c r="A189" s="49">
        <v>187</v>
      </c>
      <c r="B189" s="42"/>
      <c r="C189" s="42"/>
      <c r="D189" s="43"/>
      <c r="E189" s="42" t="str">
        <f t="shared" ca="1" si="18"/>
        <v/>
      </c>
      <c r="F189" s="42"/>
      <c r="G189" s="42"/>
      <c r="H189" s="42"/>
      <c r="I189" s="42"/>
      <c r="J189" s="42"/>
      <c r="K189" s="79" t="str">
        <f t="shared" si="17"/>
        <v/>
      </c>
      <c r="L189" s="48"/>
      <c r="M189" s="79"/>
      <c r="N189" s="48"/>
      <c r="O189" s="42"/>
      <c r="P189" s="43"/>
      <c r="Q189" s="42"/>
      <c r="R189" s="44"/>
      <c r="S189" s="45" t="str">
        <f t="shared" ca="1" si="19"/>
        <v/>
      </c>
      <c r="T189" s="50" t="str">
        <f t="shared" ca="1" si="20"/>
        <v/>
      </c>
    </row>
    <row r="190" spans="1:20" ht="15" customHeight="1">
      <c r="A190" s="51">
        <v>188</v>
      </c>
      <c r="B190" s="46"/>
      <c r="C190" s="46"/>
      <c r="D190" s="47"/>
      <c r="E190" s="46" t="str">
        <f t="shared" ca="1" si="18"/>
        <v/>
      </c>
      <c r="F190" s="46"/>
      <c r="G190" s="46"/>
      <c r="H190" s="46"/>
      <c r="I190" s="46"/>
      <c r="J190" s="46"/>
      <c r="K190" s="79" t="str">
        <f t="shared" si="17"/>
        <v/>
      </c>
      <c r="L190" s="48"/>
      <c r="M190" s="79"/>
      <c r="N190" s="48"/>
      <c r="O190" s="46"/>
      <c r="P190" s="47"/>
      <c r="Q190" s="46"/>
      <c r="R190" s="47"/>
      <c r="S190" s="46" t="str">
        <f t="shared" ca="1" si="19"/>
        <v/>
      </c>
      <c r="T190" s="52" t="str">
        <f t="shared" ca="1" si="20"/>
        <v/>
      </c>
    </row>
    <row r="191" spans="1:20" ht="15" customHeight="1">
      <c r="A191" s="49">
        <v>189</v>
      </c>
      <c r="B191" s="42"/>
      <c r="C191" s="42"/>
      <c r="D191" s="43"/>
      <c r="E191" s="42" t="str">
        <f t="shared" ca="1" si="18"/>
        <v/>
      </c>
      <c r="F191" s="42"/>
      <c r="G191" s="42"/>
      <c r="H191" s="42"/>
      <c r="I191" s="42"/>
      <c r="J191" s="42"/>
      <c r="K191" s="79" t="str">
        <f t="shared" si="17"/>
        <v/>
      </c>
      <c r="L191" s="48"/>
      <c r="M191" s="79"/>
      <c r="N191" s="48"/>
      <c r="O191" s="42"/>
      <c r="P191" s="43"/>
      <c r="Q191" s="42"/>
      <c r="R191" s="44"/>
      <c r="S191" s="45" t="str">
        <f t="shared" ca="1" si="19"/>
        <v/>
      </c>
      <c r="T191" s="50" t="str">
        <f t="shared" ca="1" si="20"/>
        <v/>
      </c>
    </row>
    <row r="192" spans="1:20" ht="15" customHeight="1">
      <c r="A192" s="51">
        <v>190</v>
      </c>
      <c r="B192" s="46"/>
      <c r="C192" s="46"/>
      <c r="D192" s="47"/>
      <c r="E192" s="46" t="str">
        <f t="shared" ca="1" si="18"/>
        <v/>
      </c>
      <c r="F192" s="46"/>
      <c r="G192" s="46"/>
      <c r="H192" s="46"/>
      <c r="I192" s="46"/>
      <c r="J192" s="46"/>
      <c r="K192" s="79" t="str">
        <f t="shared" si="17"/>
        <v/>
      </c>
      <c r="L192" s="48"/>
      <c r="M192" s="79"/>
      <c r="N192" s="48"/>
      <c r="O192" s="46"/>
      <c r="P192" s="47"/>
      <c r="Q192" s="46"/>
      <c r="R192" s="47"/>
      <c r="S192" s="46" t="str">
        <f t="shared" ca="1" si="19"/>
        <v/>
      </c>
      <c r="T192" s="52" t="str">
        <f t="shared" ca="1" si="20"/>
        <v/>
      </c>
    </row>
    <row r="193" spans="1:20" ht="15" customHeight="1">
      <c r="A193" s="49">
        <v>191</v>
      </c>
      <c r="B193" s="42"/>
      <c r="C193" s="42"/>
      <c r="D193" s="43"/>
      <c r="E193" s="42" t="str">
        <f t="shared" ca="1" si="18"/>
        <v/>
      </c>
      <c r="F193" s="42"/>
      <c r="G193" s="42"/>
      <c r="H193" s="42"/>
      <c r="I193" s="42"/>
      <c r="J193" s="42"/>
      <c r="K193" s="79" t="str">
        <f t="shared" si="17"/>
        <v/>
      </c>
      <c r="L193" s="48"/>
      <c r="M193" s="79"/>
      <c r="N193" s="48"/>
      <c r="O193" s="42"/>
      <c r="P193" s="43"/>
      <c r="Q193" s="42"/>
      <c r="R193" s="44"/>
      <c r="S193" s="45" t="str">
        <f t="shared" ca="1" si="19"/>
        <v/>
      </c>
      <c r="T193" s="50" t="str">
        <f t="shared" ca="1" si="20"/>
        <v/>
      </c>
    </row>
    <row r="194" spans="1:20" ht="15" customHeight="1">
      <c r="A194" s="51">
        <v>192</v>
      </c>
      <c r="B194" s="46"/>
      <c r="C194" s="46"/>
      <c r="D194" s="47"/>
      <c r="E194" s="46" t="str">
        <f t="shared" ca="1" si="18"/>
        <v/>
      </c>
      <c r="F194" s="46"/>
      <c r="G194" s="46"/>
      <c r="H194" s="46"/>
      <c r="I194" s="46"/>
      <c r="J194" s="46"/>
      <c r="K194" s="79" t="str">
        <f t="shared" si="17"/>
        <v/>
      </c>
      <c r="L194" s="48"/>
      <c r="M194" s="79"/>
      <c r="N194" s="48"/>
      <c r="O194" s="46"/>
      <c r="P194" s="47"/>
      <c r="Q194" s="46"/>
      <c r="R194" s="47"/>
      <c r="S194" s="46" t="str">
        <f t="shared" ca="1" si="19"/>
        <v/>
      </c>
      <c r="T194" s="52" t="str">
        <f t="shared" ca="1" si="20"/>
        <v/>
      </c>
    </row>
    <row r="195" spans="1:20" ht="15" customHeight="1">
      <c r="A195" s="49">
        <v>193</v>
      </c>
      <c r="B195" s="42"/>
      <c r="C195" s="42"/>
      <c r="D195" s="43"/>
      <c r="E195" s="42" t="str">
        <f t="shared" ref="E195:E226" ca="1" si="21">IF(D195="","",DATEDIF(D195,TODAY(),"Y"))</f>
        <v/>
      </c>
      <c r="F195" s="42"/>
      <c r="G195" s="42"/>
      <c r="H195" s="42"/>
      <c r="I195" s="42"/>
      <c r="J195" s="42"/>
      <c r="K195" s="79" t="str">
        <f t="shared" si="17"/>
        <v/>
      </c>
      <c r="L195" s="48"/>
      <c r="M195" s="79"/>
      <c r="N195" s="48"/>
      <c r="O195" s="42"/>
      <c r="P195" s="43"/>
      <c r="Q195" s="42"/>
      <c r="R195" s="44"/>
      <c r="S195" s="45" t="str">
        <f t="shared" ref="S195:S226" ca="1" si="22">IF(OR(B195="",R195="",O195="Payé"),"",MAX(0,TODAY()-R195))</f>
        <v/>
      </c>
      <c r="T195" s="50" t="str">
        <f t="shared" ref="T195:T202" ca="1" si="23">IF(B195="","",IF(O195="Payé","✅ À jour",IF(R195="","⏳ Pas de date",IF(TODAY()&gt;R195,"🔴 En retard",IF(R195-TODAY()&lt;=7,"🟡 Bientôt dû","🟢 Dans les temps")))))</f>
        <v/>
      </c>
    </row>
    <row r="196" spans="1:20" ht="15" customHeight="1">
      <c r="A196" s="51">
        <v>194</v>
      </c>
      <c r="B196" s="46"/>
      <c r="C196" s="46"/>
      <c r="D196" s="47"/>
      <c r="E196" s="46" t="str">
        <f t="shared" ca="1" si="21"/>
        <v/>
      </c>
      <c r="F196" s="46"/>
      <c r="G196" s="46"/>
      <c r="H196" s="46"/>
      <c r="I196" s="46"/>
      <c r="J196" s="46"/>
      <c r="K196" s="79" t="str">
        <f t="shared" si="17"/>
        <v/>
      </c>
      <c r="L196" s="48"/>
      <c r="M196" s="79"/>
      <c r="N196" s="48"/>
      <c r="O196" s="46"/>
      <c r="P196" s="47"/>
      <c r="Q196" s="46"/>
      <c r="R196" s="47"/>
      <c r="S196" s="46" t="str">
        <f t="shared" ca="1" si="22"/>
        <v/>
      </c>
      <c r="T196" s="52" t="str">
        <f t="shared" ca="1" si="23"/>
        <v/>
      </c>
    </row>
    <row r="197" spans="1:20" ht="15" customHeight="1">
      <c r="A197" s="49">
        <v>195</v>
      </c>
      <c r="B197" s="42"/>
      <c r="C197" s="42"/>
      <c r="D197" s="43"/>
      <c r="E197" s="42" t="str">
        <f t="shared" ca="1" si="21"/>
        <v/>
      </c>
      <c r="F197" s="42"/>
      <c r="G197" s="42"/>
      <c r="H197" s="42"/>
      <c r="I197" s="42"/>
      <c r="J197" s="42"/>
      <c r="K197" s="79" t="str">
        <f t="shared" si="17"/>
        <v/>
      </c>
      <c r="L197" s="48"/>
      <c r="M197" s="79"/>
      <c r="N197" s="48"/>
      <c r="O197" s="42"/>
      <c r="P197" s="43"/>
      <c r="Q197" s="42"/>
      <c r="R197" s="44"/>
      <c r="S197" s="45" t="str">
        <f t="shared" ca="1" si="22"/>
        <v/>
      </c>
      <c r="T197" s="50" t="str">
        <f t="shared" ca="1" si="23"/>
        <v/>
      </c>
    </row>
    <row r="198" spans="1:20" ht="15" customHeight="1">
      <c r="A198" s="51">
        <v>196</v>
      </c>
      <c r="B198" s="46"/>
      <c r="C198" s="46"/>
      <c r="D198" s="47"/>
      <c r="E198" s="46" t="str">
        <f t="shared" ca="1" si="21"/>
        <v/>
      </c>
      <c r="F198" s="46"/>
      <c r="G198" s="46"/>
      <c r="H198" s="46"/>
      <c r="I198" s="46"/>
      <c r="J198" s="46"/>
      <c r="K198" s="79" t="str">
        <f t="shared" si="17"/>
        <v/>
      </c>
      <c r="L198" s="48"/>
      <c r="M198" s="79"/>
      <c r="N198" s="48"/>
      <c r="O198" s="46"/>
      <c r="P198" s="47"/>
      <c r="Q198" s="46"/>
      <c r="R198" s="47"/>
      <c r="S198" s="46" t="str">
        <f t="shared" ca="1" si="22"/>
        <v/>
      </c>
      <c r="T198" s="52" t="str">
        <f t="shared" ca="1" si="23"/>
        <v/>
      </c>
    </row>
    <row r="199" spans="1:20" ht="15" customHeight="1">
      <c r="A199" s="49">
        <v>197</v>
      </c>
      <c r="B199" s="42"/>
      <c r="C199" s="42"/>
      <c r="D199" s="43"/>
      <c r="E199" s="42" t="str">
        <f t="shared" ca="1" si="21"/>
        <v/>
      </c>
      <c r="F199" s="42"/>
      <c r="G199" s="42"/>
      <c r="H199" s="42"/>
      <c r="I199" s="42"/>
      <c r="J199" s="42"/>
      <c r="K199" s="79" t="str">
        <f t="shared" ref="K199:K202" si="24">IF(I199&lt;&gt;"Oui","",IF(E199="","",IF(E199&lt;5,"U5",IF(E199&lt;7,"U7",IF(E199&lt;9,"U9",IF(E199&lt;10,"U11",IF(F199="F",IF(E199&lt;12,"U12F","U15F"),IF(E199&lt;11,"U11",IF(E199&lt;13,"U13","U15")))))))))</f>
        <v/>
      </c>
      <c r="L199" s="48"/>
      <c r="M199" s="79"/>
      <c r="N199" s="48"/>
      <c r="O199" s="42"/>
      <c r="P199" s="43"/>
      <c r="Q199" s="42"/>
      <c r="R199" s="44"/>
      <c r="S199" s="45" t="str">
        <f t="shared" ca="1" si="22"/>
        <v/>
      </c>
      <c r="T199" s="50" t="str">
        <f t="shared" ca="1" si="23"/>
        <v/>
      </c>
    </row>
    <row r="200" spans="1:20" ht="15" customHeight="1">
      <c r="A200" s="51">
        <v>198</v>
      </c>
      <c r="B200" s="46"/>
      <c r="C200" s="46"/>
      <c r="D200" s="47"/>
      <c r="E200" s="46" t="str">
        <f t="shared" ca="1" si="21"/>
        <v/>
      </c>
      <c r="F200" s="46"/>
      <c r="G200" s="46"/>
      <c r="H200" s="46"/>
      <c r="I200" s="46"/>
      <c r="J200" s="46"/>
      <c r="K200" s="79" t="str">
        <f t="shared" si="24"/>
        <v/>
      </c>
      <c r="L200" s="48"/>
      <c r="M200" s="79"/>
      <c r="N200" s="48"/>
      <c r="O200" s="46"/>
      <c r="P200" s="47"/>
      <c r="Q200" s="46"/>
      <c r="R200" s="47"/>
      <c r="S200" s="46" t="str">
        <f t="shared" ca="1" si="22"/>
        <v/>
      </c>
      <c r="T200" s="52" t="str">
        <f t="shared" ca="1" si="23"/>
        <v/>
      </c>
    </row>
    <row r="201" spans="1:20" ht="15" customHeight="1">
      <c r="A201" s="49">
        <v>199</v>
      </c>
      <c r="B201" s="42"/>
      <c r="C201" s="42"/>
      <c r="D201" s="43"/>
      <c r="E201" s="42" t="str">
        <f t="shared" ca="1" si="21"/>
        <v/>
      </c>
      <c r="F201" s="42"/>
      <c r="G201" s="42"/>
      <c r="H201" s="42"/>
      <c r="I201" s="42"/>
      <c r="J201" s="42"/>
      <c r="K201" s="79" t="str">
        <f t="shared" si="24"/>
        <v/>
      </c>
      <c r="L201" s="48"/>
      <c r="M201" s="79"/>
      <c r="N201" s="48"/>
      <c r="O201" s="42"/>
      <c r="P201" s="43"/>
      <c r="Q201" s="42"/>
      <c r="R201" s="44"/>
      <c r="S201" s="45" t="str">
        <f t="shared" ca="1" si="22"/>
        <v/>
      </c>
      <c r="T201" s="50" t="str">
        <f t="shared" ca="1" si="23"/>
        <v/>
      </c>
    </row>
    <row r="202" spans="1:20" ht="15" customHeight="1" thickBot="1">
      <c r="A202" s="53">
        <v>200</v>
      </c>
      <c r="B202" s="54"/>
      <c r="C202" s="54"/>
      <c r="D202" s="55"/>
      <c r="E202" s="54" t="str">
        <f t="shared" ca="1" si="21"/>
        <v/>
      </c>
      <c r="F202" s="54"/>
      <c r="G202" s="54"/>
      <c r="H202" s="54"/>
      <c r="I202" s="54"/>
      <c r="J202" s="54"/>
      <c r="K202" s="80" t="str">
        <f t="shared" si="24"/>
        <v/>
      </c>
      <c r="L202" s="56"/>
      <c r="M202" s="80"/>
      <c r="N202" s="56"/>
      <c r="O202" s="54"/>
      <c r="P202" s="55"/>
      <c r="Q202" s="54"/>
      <c r="R202" s="55"/>
      <c r="S202" s="54" t="str">
        <f t="shared" ca="1" si="22"/>
        <v/>
      </c>
      <c r="T202" s="57" t="str">
        <f t="shared" ca="1" si="23"/>
        <v/>
      </c>
    </row>
  </sheetData>
  <mergeCells count="1">
    <mergeCell ref="A1:T1"/>
  </mergeCells>
  <conditionalFormatting sqref="O3:O202">
    <cfRule type="cellIs" dxfId="15" priority="2" operator="equal">
      <formula>"Payé"</formula>
    </cfRule>
    <cfRule type="cellIs" dxfId="14" priority="3" operator="equal">
      <formula>"En attente"</formula>
    </cfRule>
    <cfRule type="cellIs" dxfId="13" priority="4" operator="equal">
      <formula>"Partiel"</formula>
    </cfRule>
  </conditionalFormatting>
  <conditionalFormatting sqref="S3:S202">
    <cfRule type="cellIs" dxfId="12" priority="8" operator="greaterThan">
      <formula>0</formula>
    </cfRule>
  </conditionalFormatting>
  <conditionalFormatting sqref="T3:T202">
    <cfRule type="expression" dxfId="11" priority="5">
      <formula>SEARCH("En retard",T3)&gt;0</formula>
    </cfRule>
    <cfRule type="expression" dxfId="10" priority="6">
      <formula>SEARCH("À jour",T3)&gt;0</formula>
    </cfRule>
    <cfRule type="expression" dxfId="9" priority="7">
      <formula>SEARCH("Bientôt",T3)&gt;0</formula>
    </cfRule>
  </conditionalFormatting>
  <dataValidations count="4">
    <dataValidation type="list" allowBlank="1" showInputMessage="1" showErrorMessage="1" error="Choisir Oui ou Non" prompt="Sélectionnez Oui ou Non" sqref="I3:J202" xr:uid="{00000000-0002-0000-0100-000000000000}">
      <formula1>"Oui,Non"</formula1>
      <formula2>0</formula2>
    </dataValidation>
    <dataValidation type="list" allowBlank="1" sqref="F3:F202" xr:uid="{00000000-0002-0000-0100-000001000000}">
      <formula1>"M,F"</formula1>
      <formula2>0</formula2>
    </dataValidation>
    <dataValidation type="list" allowBlank="1" error="Choisir un statut" sqref="O3:O202" xr:uid="{00000000-0002-0000-0100-000002000000}">
      <formula1>"Payé,En attente,Partiel"</formula1>
      <formula2>0</formula2>
    </dataValidation>
    <dataValidation type="list" allowBlank="1" sqref="K3:K202" xr:uid="{00000000-0002-0000-0100-000003000000}">
      <formula1>"U7,U9,U11,U13,U15,U17,Seniors"</formula1>
      <formula2>0</formula2>
    </dataValidation>
  </dataValidation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9A825"/>
  </sheetPr>
  <dimension ref="A1:F48"/>
  <sheetViews>
    <sheetView zoomScaleNormal="100" workbookViewId="0">
      <pane ySplit="1" topLeftCell="A5" activePane="bottomLeft" state="frozen"/>
      <selection pane="bottomLeft" activeCell="E20" sqref="E20"/>
    </sheetView>
  </sheetViews>
  <sheetFormatPr defaultColWidth="8.7109375" defaultRowHeight="14.45"/>
  <cols>
    <col min="1" max="6" width="22" style="1" customWidth="1"/>
  </cols>
  <sheetData>
    <row r="1" spans="1:6" ht="39.75" customHeight="1">
      <c r="A1" s="89" t="s">
        <v>357</v>
      </c>
      <c r="B1" s="89"/>
      <c r="C1" s="89"/>
      <c r="D1" s="89"/>
      <c r="E1" s="89"/>
      <c r="F1" s="89"/>
    </row>
    <row r="2" spans="1:6" ht="15" customHeight="1">
      <c r="A2" s="103" t="s">
        <v>358</v>
      </c>
      <c r="B2" s="103"/>
      <c r="C2" s="103"/>
      <c r="D2" s="103"/>
      <c r="E2" s="103"/>
      <c r="F2" s="103"/>
    </row>
    <row r="3" spans="1:6" ht="17.25" customHeight="1">
      <c r="A3" s="100" t="s">
        <v>359</v>
      </c>
      <c r="B3" s="100"/>
      <c r="C3" s="100"/>
      <c r="D3" s="9">
        <f>COUNTA(Inscriptions!B3:B202)</f>
        <v>117</v>
      </c>
      <c r="E3" s="10"/>
      <c r="F3" s="10"/>
    </row>
    <row r="4" spans="1:6" ht="17.25" customHeight="1">
      <c r="A4" s="99" t="s">
        <v>360</v>
      </c>
      <c r="B4" s="99"/>
      <c r="C4" s="99"/>
      <c r="D4" s="11">
        <f>COUNTIF(Inscriptions!I3:I202,"Oui")</f>
        <v>116</v>
      </c>
      <c r="E4" s="5"/>
      <c r="F4" s="5"/>
    </row>
    <row r="5" spans="1:6" ht="17.25" customHeight="1">
      <c r="A5" s="100" t="s">
        <v>361</v>
      </c>
      <c r="B5" s="100"/>
      <c r="C5" s="100"/>
      <c r="D5" s="9">
        <f>COUNTIF(Inscriptions!J3:J202,"Oui")</f>
        <v>0</v>
      </c>
      <c r="E5" s="10"/>
      <c r="F5" s="10"/>
    </row>
    <row r="6" spans="1:6" ht="17.25" customHeight="1">
      <c r="A6" s="99" t="s">
        <v>362</v>
      </c>
      <c r="B6" s="99"/>
      <c r="C6" s="99"/>
      <c r="D6" s="11">
        <f>COUNTIFS(Inscriptions!I3:I202,"Oui",Inscriptions!J3:J202,"Oui")</f>
        <v>0</v>
      </c>
      <c r="E6" s="5"/>
      <c r="F6" s="5"/>
    </row>
    <row r="7" spans="1:6" ht="17.25" customHeight="1">
      <c r="A7" s="100" t="s">
        <v>363</v>
      </c>
      <c r="B7" s="100"/>
      <c r="C7" s="100"/>
      <c r="D7" s="9">
        <f>COUNTIF(Inscriptions!F3:F202,"M")</f>
        <v>106</v>
      </c>
      <c r="E7" s="10"/>
      <c r="F7" s="10"/>
    </row>
    <row r="8" spans="1:6" ht="17.25" customHeight="1">
      <c r="A8" s="99" t="s">
        <v>364</v>
      </c>
      <c r="B8" s="99"/>
      <c r="C8" s="99"/>
      <c r="D8" s="11">
        <f>COUNTIF(Inscriptions!F3:F202,"F")</f>
        <v>11</v>
      </c>
      <c r="E8" s="5"/>
      <c r="F8" s="5"/>
    </row>
    <row r="11" spans="1:6" ht="15" customHeight="1">
      <c r="A11" s="101" t="s">
        <v>365</v>
      </c>
      <c r="B11" s="101"/>
      <c r="C11" s="101"/>
      <c r="D11" s="101"/>
      <c r="E11" s="101"/>
      <c r="F11" s="101"/>
    </row>
    <row r="12" spans="1:6" ht="15" customHeight="1">
      <c r="A12" s="41" t="s">
        <v>3</v>
      </c>
      <c r="B12" s="41" t="s">
        <v>366</v>
      </c>
      <c r="C12" s="41" t="s">
        <v>363</v>
      </c>
      <c r="D12" s="41" t="s">
        <v>364</v>
      </c>
      <c r="E12" s="41" t="s">
        <v>367</v>
      </c>
      <c r="F12" s="41" t="s">
        <v>368</v>
      </c>
    </row>
    <row r="13" spans="1:6" ht="15" customHeight="1">
      <c r="A13" s="8" t="s">
        <v>7</v>
      </c>
      <c r="B13" s="8">
        <f ca="1">COUNTIF(Inscriptions!K3:K202,A13)</f>
        <v>6</v>
      </c>
      <c r="C13" s="8">
        <f ca="1">COUNTIFS(Inscriptions!K3:K202,A13,Inscriptions!F3:F202,"M")</f>
        <v>6</v>
      </c>
      <c r="D13" s="8">
        <f ca="1">COUNTIFS(Inscriptions!K3:K202,A13,Inscriptions!F3:F202,"F")</f>
        <v>0</v>
      </c>
      <c r="E13" s="12">
        <f ca="1">IF(D$3=0,0,B13/D$3)</f>
        <v>5.128205128205128E-2</v>
      </c>
      <c r="F13" s="8">
        <f ca="1">B13*VLOOKUP(A13,Paramètres!$A$6:$D$13,4,FALSE())</f>
        <v>15000</v>
      </c>
    </row>
    <row r="14" spans="1:6" ht="15" customHeight="1">
      <c r="A14" s="3" t="s">
        <v>8</v>
      </c>
      <c r="B14" s="3">
        <f ca="1">COUNTIF(Inscriptions!K3:K202,A14)</f>
        <v>17</v>
      </c>
      <c r="C14" s="3">
        <f ca="1">COUNTIFS(Inscriptions!K3:K202,A14,Inscriptions!F3:F202,"M")</f>
        <v>16</v>
      </c>
      <c r="D14" s="3">
        <f ca="1">COUNTIFS(Inscriptions!K3:K202,A14,Inscriptions!F3:F202,"F")</f>
        <v>1</v>
      </c>
      <c r="E14" s="13">
        <f ca="1">IF(D$3=0,0,B14/D$3)</f>
        <v>0.14529914529914531</v>
      </c>
      <c r="F14" s="3">
        <f ca="1">B14*VLOOKUP(A14,Paramètres!$A$6:$D$13,4,FALSE())</f>
        <v>51000</v>
      </c>
    </row>
    <row r="15" spans="1:6" ht="15" customHeight="1">
      <c r="A15" s="8" t="s">
        <v>9</v>
      </c>
      <c r="B15" s="8">
        <f ca="1">COUNTIF(Inscriptions!K3:K202,A15)</f>
        <v>18</v>
      </c>
      <c r="C15" s="8">
        <f ca="1">COUNTIFS(Inscriptions!K3:K202,A15,Inscriptions!F3:F202,"M")</f>
        <v>16</v>
      </c>
      <c r="D15" s="8">
        <f ca="1">COUNTIFS(Inscriptions!K3:K202,A15,Inscriptions!F3:F202,"F")</f>
        <v>2</v>
      </c>
      <c r="E15" s="12">
        <f ca="1">IF(D$3=0,0,B15/D$3)</f>
        <v>0.15384615384615385</v>
      </c>
      <c r="F15" s="8">
        <f ca="1">B15*VLOOKUP(A15,Paramètres!$A$6:$D$13,4,FALSE())</f>
        <v>63000</v>
      </c>
    </row>
    <row r="16" spans="1:6" ht="15" customHeight="1">
      <c r="A16" s="3" t="s">
        <v>10</v>
      </c>
      <c r="B16" s="3">
        <f ca="1">COUNTIF(Inscriptions!K3:K202,A16)</f>
        <v>26</v>
      </c>
      <c r="C16" s="3">
        <f ca="1">COUNTIFS(Inscriptions!K3:K202,A16,Inscriptions!F3:F202,"M")</f>
        <v>25</v>
      </c>
      <c r="D16" s="3">
        <f ca="1">COUNTIFS(Inscriptions!K3:K202,A16,Inscriptions!F3:F202,"F")</f>
        <v>1</v>
      </c>
      <c r="E16" s="13">
        <f ca="1">IF(D$3=0,0,B16/D$3)</f>
        <v>0.22222222222222221</v>
      </c>
      <c r="F16" s="3">
        <f ca="1">B16*VLOOKUP(A16,Paramètres!$A$6:$D$13,4,FALSE())</f>
        <v>104000</v>
      </c>
    </row>
    <row r="17" spans="1:6" ht="15" customHeight="1">
      <c r="A17" s="8" t="s">
        <v>11</v>
      </c>
      <c r="B17" s="8">
        <f ca="1">COUNTIF(Inscriptions!K3:K202,A17)</f>
        <v>4</v>
      </c>
      <c r="C17" s="8">
        <f ca="1">COUNTIFS(Inscriptions!K3:K202,A17,Inscriptions!F3:F202,"M")</f>
        <v>0</v>
      </c>
      <c r="D17" s="8">
        <f ca="1">COUNTIFS(Inscriptions!K3:K202,A17,Inscriptions!F3:F202,"F")</f>
        <v>4</v>
      </c>
      <c r="E17" s="12">
        <f ca="1">IF(D$3=0,0,B17/D$3)</f>
        <v>3.4188034188034191E-2</v>
      </c>
      <c r="F17" s="8">
        <f ca="1">B17*VLOOKUP(A17,Paramètres!$A$6:$D$13,4,FALSE())</f>
        <v>16000</v>
      </c>
    </row>
    <row r="18" spans="1:6" ht="15" customHeight="1">
      <c r="A18" s="3" t="s">
        <v>12</v>
      </c>
      <c r="B18" s="3">
        <f ca="1">COUNTIF(Inscriptions!K3:K202,A18)</f>
        <v>16</v>
      </c>
      <c r="C18" s="3">
        <f ca="1">COUNTIFS(Inscriptions!K3:K202,A18,Inscriptions!F3:F202,"M")</f>
        <v>16</v>
      </c>
      <c r="D18" s="3">
        <f ca="1">COUNTIFS(Inscriptions!K3:K202,A18,Inscriptions!F3:F202,"F")</f>
        <v>0</v>
      </c>
      <c r="E18" s="13">
        <f ca="1">IF(D$3=0,0,B18/D$3)</f>
        <v>0.13675213675213677</v>
      </c>
      <c r="F18" s="3">
        <f ca="1">B18*VLOOKUP(A18,Paramètres!$A$6:$D$13,4,FALSE())</f>
        <v>72000</v>
      </c>
    </row>
    <row r="19" spans="1:6" ht="15" customHeight="1">
      <c r="A19" s="8" t="s">
        <v>13</v>
      </c>
      <c r="B19" s="8">
        <f ca="1">COUNTIF(Inscriptions!K3:K202,A19)</f>
        <v>23</v>
      </c>
      <c r="C19" s="8">
        <f ca="1">COUNTIFS(Inscriptions!K3:K202,A19,Inscriptions!F3:F202,"M")</f>
        <v>23</v>
      </c>
      <c r="D19" s="8">
        <f ca="1">COUNTIFS(Inscriptions!K3:K202,A19,Inscriptions!F3:F202,"F")</f>
        <v>0</v>
      </c>
      <c r="E19" s="12">
        <f ca="1">IF(D$3=0,0,B19/D$3)</f>
        <v>0.19658119658119658</v>
      </c>
      <c r="F19" s="8">
        <f ca="1">B19*VLOOKUP(A19,Paramètres!$A$6:$D$13,4,FALSE())</f>
        <v>115000</v>
      </c>
    </row>
    <row r="20" spans="1:6" ht="15" customHeight="1">
      <c r="A20" s="37" t="s">
        <v>14</v>
      </c>
      <c r="B20" s="37">
        <f ca="1">COUNTIF(Inscriptions!K3:K202,A20)</f>
        <v>2</v>
      </c>
      <c r="C20" s="37">
        <f ca="1">COUNTIFS(Inscriptions!K3:K202,A20,Inscriptions!F3:F202,"M")</f>
        <v>0</v>
      </c>
      <c r="D20" s="37">
        <f ca="1">COUNTIFS(Inscriptions!K3:K202,A20,Inscriptions!F3:F202,"F")</f>
        <v>2</v>
      </c>
      <c r="E20" s="38">
        <f ca="1">IF(D$3=0,0,B20/D$3)</f>
        <v>1.7094017094017096E-2</v>
      </c>
      <c r="F20" s="37">
        <f ca="1">B20*VLOOKUP(A20,Paramètres!$A$6:$D$13,4,FALSE())</f>
        <v>10000</v>
      </c>
    </row>
    <row r="21" spans="1:6" ht="15" customHeight="1">
      <c r="A21" s="39" t="s">
        <v>369</v>
      </c>
      <c r="B21" s="39">
        <f ca="1">SUM(B13:B20)</f>
        <v>112</v>
      </c>
      <c r="C21" s="39">
        <f ca="1">SUM(C13:C20)</f>
        <v>102</v>
      </c>
      <c r="D21" s="39">
        <f ca="1">SUM(D13:D20)</f>
        <v>10</v>
      </c>
      <c r="E21" s="40">
        <f ca="1">IF(SUM(B13:B20)=0,0,1)</f>
        <v>1</v>
      </c>
      <c r="F21" s="39">
        <f ca="1">SUM(F13:F20)</f>
        <v>446000</v>
      </c>
    </row>
    <row r="24" spans="1:6" ht="15" customHeight="1">
      <c r="A24" s="102" t="s">
        <v>370</v>
      </c>
      <c r="B24" s="102"/>
      <c r="C24" s="102"/>
      <c r="D24" s="102"/>
      <c r="E24" s="102"/>
      <c r="F24" s="102"/>
    </row>
    <row r="25" spans="1:6" ht="15" customHeight="1">
      <c r="A25" s="96" t="s">
        <v>371</v>
      </c>
      <c r="B25" s="96"/>
      <c r="C25" s="96"/>
      <c r="D25" s="14">
        <f>SUM(Inscriptions!L3:L202)</f>
        <v>164250</v>
      </c>
      <c r="E25" s="10"/>
      <c r="F25" s="10"/>
    </row>
    <row r="26" spans="1:6" ht="15" customHeight="1">
      <c r="A26" s="92" t="s">
        <v>372</v>
      </c>
      <c r="B26" s="92"/>
      <c r="C26" s="92"/>
      <c r="D26" s="15">
        <f>SUM(Inscriptions!M3:M202)</f>
        <v>0</v>
      </c>
      <c r="E26" s="5"/>
      <c r="F26" s="5"/>
    </row>
    <row r="27" spans="1:6" ht="15" customHeight="1">
      <c r="A27" s="96" t="s">
        <v>373</v>
      </c>
      <c r="B27" s="96"/>
      <c r="C27" s="96"/>
      <c r="D27" s="14">
        <f>SUM(Inscriptions!L3:L202)+SUM(Inscriptions!M3:M202)-SUM(Inscriptions!N3:N202)</f>
        <v>35500</v>
      </c>
      <c r="E27" s="10"/>
      <c r="F27" s="10"/>
    </row>
    <row r="28" spans="1:6" ht="17.25" customHeight="1">
      <c r="A28" s="98" t="s">
        <v>374</v>
      </c>
      <c r="B28" s="98"/>
      <c r="C28" s="98"/>
      <c r="D28" s="16">
        <f>SUM(Inscriptions!N3:N202)</f>
        <v>128750</v>
      </c>
      <c r="E28" s="5"/>
      <c r="F28" s="5"/>
    </row>
    <row r="29" spans="1:6" ht="15" customHeight="1">
      <c r="A29" s="96" t="s">
        <v>375</v>
      </c>
      <c r="B29" s="96"/>
      <c r="C29" s="96"/>
      <c r="D29" s="14">
        <f>D28*12</f>
        <v>1545000</v>
      </c>
      <c r="E29" s="10"/>
      <c r="F29" s="10"/>
    </row>
    <row r="30" spans="1:6" ht="15" customHeight="1">
      <c r="A30" s="92" t="s">
        <v>376</v>
      </c>
      <c r="B30" s="92"/>
      <c r="C30" s="92"/>
      <c r="D30" s="15">
        <f>SUMPRODUCT((Inscriptions!O3:O202="Payé")*Inscriptions!N3:N202)</f>
        <v>91750</v>
      </c>
      <c r="E30" s="5"/>
      <c r="F30" s="5"/>
    </row>
    <row r="31" spans="1:6" ht="15" customHeight="1">
      <c r="A31" s="96" t="s">
        <v>377</v>
      </c>
      <c r="B31" s="96"/>
      <c r="C31" s="96"/>
      <c r="D31" s="14">
        <f>SUMPRODUCT((Inscriptions!O3:O202="En attente")*Inscriptions!N3:N202)</f>
        <v>0</v>
      </c>
      <c r="E31" s="10"/>
      <c r="F31" s="10"/>
    </row>
    <row r="32" spans="1:6" ht="15" customHeight="1">
      <c r="A32" s="92" t="s">
        <v>378</v>
      </c>
      <c r="B32" s="92"/>
      <c r="C32" s="92"/>
      <c r="D32" s="17">
        <f>IF(D28=0,0,D30/D28)</f>
        <v>0.71262135922330094</v>
      </c>
      <c r="E32" s="5"/>
      <c r="F32" s="5"/>
    </row>
    <row r="35" spans="1:6" ht="15" customHeight="1">
      <c r="A35" s="97" t="s">
        <v>379</v>
      </c>
      <c r="B35" s="97"/>
      <c r="C35" s="97"/>
      <c r="D35" s="97"/>
      <c r="E35" s="97"/>
      <c r="F35" s="97"/>
    </row>
    <row r="36" spans="1:6" ht="15" customHeight="1">
      <c r="A36" s="94" t="s">
        <v>380</v>
      </c>
      <c r="B36" s="94"/>
      <c r="C36" s="94"/>
      <c r="D36" s="18">
        <f>COUNTIF(Inscriptions!O3:O202,"Payé")</f>
        <v>59</v>
      </c>
      <c r="E36" s="19"/>
      <c r="F36" s="19"/>
    </row>
    <row r="37" spans="1:6" ht="15" customHeight="1">
      <c r="A37" s="92" t="s">
        <v>381</v>
      </c>
      <c r="B37" s="92"/>
      <c r="C37" s="92"/>
      <c r="D37" s="20">
        <f>COUNTIF(Inscriptions!O3:O202,"En attente")</f>
        <v>5</v>
      </c>
      <c r="E37" s="5"/>
      <c r="F37" s="5"/>
    </row>
    <row r="38" spans="1:6" ht="15" customHeight="1">
      <c r="A38" s="94" t="s">
        <v>382</v>
      </c>
      <c r="B38" s="94"/>
      <c r="C38" s="94"/>
      <c r="D38" s="18">
        <f>COUNTIF(Inscriptions!O3:O202,"Partiel")</f>
        <v>49</v>
      </c>
      <c r="E38" s="19"/>
      <c r="F38" s="19"/>
    </row>
    <row r="39" spans="1:6" ht="15" customHeight="1">
      <c r="A39" s="92" t="s">
        <v>383</v>
      </c>
      <c r="B39" s="92"/>
      <c r="C39" s="92"/>
      <c r="D39" s="21">
        <f>IF(D3=0,0,D36/D3)</f>
        <v>0.50427350427350426</v>
      </c>
      <c r="E39" s="5"/>
      <c r="F39" s="5"/>
    </row>
    <row r="42" spans="1:6" ht="15" customHeight="1">
      <c r="A42" s="95" t="s">
        <v>384</v>
      </c>
      <c r="B42" s="95"/>
      <c r="C42" s="95"/>
      <c r="D42" s="95"/>
      <c r="E42" s="95"/>
      <c r="F42" s="95"/>
    </row>
    <row r="43" spans="1:6" ht="15" customHeight="1">
      <c r="A43" s="93" t="s">
        <v>385</v>
      </c>
      <c r="B43" s="93"/>
      <c r="C43" s="93"/>
      <c r="D43" s="22">
        <f ca="1">COUNTIF(Inscriptions!T3:T202,"*Dans les temps*")</f>
        <v>0</v>
      </c>
      <c r="E43" s="23"/>
      <c r="F43" s="23"/>
    </row>
    <row r="44" spans="1:6" ht="15" customHeight="1">
      <c r="A44" s="92" t="s">
        <v>386</v>
      </c>
      <c r="B44" s="92"/>
      <c r="C44" s="92"/>
      <c r="D44" s="20">
        <f ca="1">COUNTIF(Inscriptions!T3:T202,"*Bientôt*")</f>
        <v>0</v>
      </c>
      <c r="E44" s="5"/>
      <c r="F44" s="5"/>
    </row>
    <row r="45" spans="1:6" ht="15" customHeight="1">
      <c r="A45" s="93" t="s">
        <v>387</v>
      </c>
      <c r="B45" s="93"/>
      <c r="C45" s="93"/>
      <c r="D45" s="22">
        <f ca="1">COUNTIF(Inscriptions!T3:T202,"*retard*")</f>
        <v>1</v>
      </c>
      <c r="E45" s="23"/>
      <c r="F45" s="23"/>
    </row>
    <row r="46" spans="1:6" ht="15" customHeight="1">
      <c r="A46" s="92" t="s">
        <v>388</v>
      </c>
      <c r="B46" s="92"/>
      <c r="C46" s="92"/>
      <c r="D46" s="20">
        <f ca="1">COUNTIF(Inscriptions!T3:T202,"*jour*")</f>
        <v>59</v>
      </c>
      <c r="E46" s="5"/>
      <c r="F46" s="5"/>
    </row>
    <row r="47" spans="1:6" ht="15" customHeight="1">
      <c r="A47" s="93" t="s">
        <v>389</v>
      </c>
      <c r="B47" s="93"/>
      <c r="C47" s="93"/>
      <c r="D47" s="24">
        <f ca="1">IF(COUNTIF(Inscriptions!S3:S202,"&gt;"&amp;0)=0,0,AVERAGEIF(Inscriptions!S3:S202,"&gt;"&amp;0))</f>
        <v>27</v>
      </c>
      <c r="E47" s="23"/>
      <c r="F47" s="23"/>
    </row>
    <row r="48" spans="1:6">
      <c r="D48" s="1" t="s">
        <v>91</v>
      </c>
    </row>
  </sheetData>
  <mergeCells count="29">
    <mergeCell ref="A1:F1"/>
    <mergeCell ref="A2:F2"/>
    <mergeCell ref="A3:C3"/>
    <mergeCell ref="A4:C4"/>
    <mergeCell ref="A5:C5"/>
    <mergeCell ref="A6:C6"/>
    <mergeCell ref="A7:C7"/>
    <mergeCell ref="A8:C8"/>
    <mergeCell ref="A11:F11"/>
    <mergeCell ref="A24:F24"/>
    <mergeCell ref="A25:C25"/>
    <mergeCell ref="A26:C26"/>
    <mergeCell ref="A27:C27"/>
    <mergeCell ref="A28:C28"/>
    <mergeCell ref="A29:C29"/>
    <mergeCell ref="A30:C30"/>
    <mergeCell ref="A31:C31"/>
    <mergeCell ref="A32:C32"/>
    <mergeCell ref="A35:F35"/>
    <mergeCell ref="A36:C36"/>
    <mergeCell ref="A44:C44"/>
    <mergeCell ref="A45:C45"/>
    <mergeCell ref="A46:C46"/>
    <mergeCell ref="A47:C47"/>
    <mergeCell ref="A37:C37"/>
    <mergeCell ref="A38:C38"/>
    <mergeCell ref="A39:C39"/>
    <mergeCell ref="A42:F42"/>
    <mergeCell ref="A43:C43"/>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F6C00"/>
  </sheetPr>
  <dimension ref="A1:J208"/>
  <sheetViews>
    <sheetView zoomScale="70" zoomScaleNormal="70" workbookViewId="0">
      <pane ySplit="8" topLeftCell="A98" activePane="bottomLeft" state="frozen"/>
      <selection pane="bottomLeft" activeCell="J46" sqref="J46"/>
    </sheetView>
  </sheetViews>
  <sheetFormatPr defaultColWidth="8.7109375" defaultRowHeight="14.45"/>
  <cols>
    <col min="1" max="1" width="5" customWidth="1"/>
    <col min="2" max="3" width="14" customWidth="1"/>
    <col min="4" max="5" width="18" customWidth="1"/>
    <col min="6" max="6" width="12" customWidth="1"/>
    <col min="7" max="7" width="13" customWidth="1"/>
    <col min="8" max="8" width="10" customWidth="1"/>
    <col min="9" max="9" width="15" customWidth="1"/>
    <col min="10" max="10" width="65" customWidth="1"/>
  </cols>
  <sheetData>
    <row r="1" spans="1:10" ht="46.9" customHeight="1">
      <c r="A1" s="89" t="s">
        <v>390</v>
      </c>
      <c r="B1" s="89"/>
      <c r="C1" s="89"/>
      <c r="D1" s="89"/>
      <c r="E1" s="89"/>
      <c r="F1" s="89"/>
      <c r="G1" s="89"/>
      <c r="H1" s="89"/>
      <c r="I1" s="89"/>
      <c r="J1" s="89"/>
    </row>
    <row r="2" spans="1:10" ht="15.6">
      <c r="A2" s="103" t="s">
        <v>391</v>
      </c>
      <c r="B2" s="103"/>
      <c r="C2" s="103"/>
      <c r="D2" s="103"/>
      <c r="E2" s="103"/>
      <c r="F2" s="103"/>
      <c r="G2" s="103"/>
      <c r="H2" s="103"/>
      <c r="I2" s="103"/>
      <c r="J2" s="103"/>
    </row>
    <row r="3" spans="1:10" ht="54.75" customHeight="1">
      <c r="A3" s="106" t="s">
        <v>392</v>
      </c>
      <c r="B3" s="106"/>
      <c r="C3" s="105" t="s">
        <v>393</v>
      </c>
      <c r="D3" s="105"/>
      <c r="E3" s="105"/>
      <c r="F3" s="105"/>
      <c r="G3" s="105"/>
      <c r="H3" s="105"/>
      <c r="I3" s="105"/>
      <c r="J3" s="105"/>
    </row>
    <row r="4" spans="1:10" ht="54.75" customHeight="1">
      <c r="A4" s="107" t="s">
        <v>394</v>
      </c>
      <c r="B4" s="107"/>
      <c r="C4" s="108" t="s">
        <v>395</v>
      </c>
      <c r="D4" s="108"/>
      <c r="E4" s="108"/>
      <c r="F4" s="108"/>
      <c r="G4" s="108"/>
      <c r="H4" s="108"/>
      <c r="I4" s="108"/>
      <c r="J4" s="108"/>
    </row>
    <row r="5" spans="1:10" ht="54.75" customHeight="1">
      <c r="A5" s="104" t="s">
        <v>396</v>
      </c>
      <c r="B5" s="104"/>
      <c r="C5" s="105" t="s">
        <v>397</v>
      </c>
      <c r="D5" s="105"/>
      <c r="E5" s="105"/>
      <c r="F5" s="105"/>
      <c r="G5" s="105"/>
      <c r="H5" s="105"/>
      <c r="I5" s="105"/>
      <c r="J5" s="105"/>
    </row>
    <row r="6" spans="1:10" ht="4.5" customHeight="1"/>
    <row r="7" spans="1:10" ht="15.6">
      <c r="A7" s="95" t="s">
        <v>398</v>
      </c>
      <c r="B7" s="95"/>
      <c r="C7" s="95"/>
      <c r="D7" s="95"/>
      <c r="E7" s="95"/>
      <c r="F7" s="95"/>
      <c r="G7" s="95"/>
      <c r="H7" s="95"/>
      <c r="I7" s="95"/>
      <c r="J7" s="95"/>
    </row>
    <row r="8" spans="1:10">
      <c r="A8" s="25" t="s">
        <v>21</v>
      </c>
      <c r="B8" s="25" t="s">
        <v>22</v>
      </c>
      <c r="C8" s="25" t="s">
        <v>23</v>
      </c>
      <c r="D8" s="25" t="s">
        <v>399</v>
      </c>
      <c r="E8" s="25" t="s">
        <v>400</v>
      </c>
      <c r="F8" s="25" t="s">
        <v>401</v>
      </c>
      <c r="G8" s="25" t="s">
        <v>402</v>
      </c>
      <c r="H8" s="25" t="s">
        <v>403</v>
      </c>
      <c r="I8" s="25" t="s">
        <v>404</v>
      </c>
      <c r="J8" s="25" t="s">
        <v>405</v>
      </c>
    </row>
    <row r="9" spans="1:10" ht="34.15">
      <c r="A9" s="26">
        <f>IF(Inscriptions!B3="","",Inscriptions!A3)</f>
        <v>1</v>
      </c>
      <c r="B9" s="26" t="str">
        <f>IF(Inscriptions!B3="","",Inscriptions!B3)</f>
        <v>SIDIBÉ</v>
      </c>
      <c r="C9" s="26" t="str">
        <f>IF(Inscriptions!B3="","",Inscriptions!C3)</f>
        <v>Younous</v>
      </c>
      <c r="D9" s="26" t="str">
        <f>IF(Inscriptions!B3="","",Inscriptions!G3)</f>
        <v>+222 49 83 01 84</v>
      </c>
      <c r="E9" s="26" t="str">
        <f>IF(Inscriptions!B3="","",IF(AND(Inscriptions!I3="Oui",Inscriptions!J3="Oui"),"Football + Loisirs",IF(Inscriptions!I3="Oui","Football",IF(Inscriptions!J3="Oui","Centre Loisirs",""))))</f>
        <v>Football</v>
      </c>
      <c r="F9" s="26">
        <f>IF(Inscriptions!B3="","",Inscriptions!N3)</f>
        <v>1750</v>
      </c>
      <c r="G9" s="26" t="str">
        <f>IF(Inscriptions!B3="","",Inscriptions!O3)</f>
        <v>Payé</v>
      </c>
      <c r="H9" s="26" t="str">
        <f ca="1">IF(Inscriptions!B3="","",IF(Inscriptions!S3="","—",Inscriptions!S3&amp;" j"))</f>
        <v>—</v>
      </c>
      <c r="I9" s="26" t="str">
        <f>IF(Inscriptions!B3="","",IF(Inscriptions!O3="Payé","✅ Confirmation",IF(AND(Inscriptions!S3&lt;&gt;"",Inscriptions!S3&gt;0),"🔴 Retard","🟡 Rappel")))</f>
        <v>✅ Confirmation</v>
      </c>
      <c r="J9" s="27" t="str">
        <f>IF(Inscriptions!B3="","",IF(Inscriptions!O3="Payé",SUBSTITUTE(SUBSTITUTE(SUBSTITUTE(SUBSTITUTE(C5,"{MONTANT}",TEXT(Inscriptions!N3,"#,##0")&amp;" MRU"),"{PRENOM}",Inscriptions!C3),"{NOM}",Inscriptions!B3),"{PRESTATION}",E9),IF(AND(Inscriptions!S3&lt;&gt;"",Inscriptions!S3&gt;0),SUBSTITUTE(SUBSTITUTE(SUBSTITUTE(SUBSTITUTE(C4,"{MONTANT}",TEXT(Inscriptions!N3,"#,##0")&amp;" MRU"),"{PRENOM}",Inscriptions!C3),"{NOM}",Inscriptions!B3),"{RETARD}",TEXT(Inscriptions!S3,"0")),SUBSTITUTE(SUBSTITUTE(SUBSTITUTE(SUBSTITUTE(SUBSTITUTE(C3,"{MONTANT}",TEXT(Inscriptions!N3,"#,##0")&amp;" MRU"),"{PRENOM}",Inscriptions!C3),"{NOM}",Inscriptions!B3),"{PRESTATION}",E9),"{DATE_LIMITE}",IF(Inscriptions!R3="","non définie",TEXT(Inscriptions!R3,"DD/MM/YYYY"))))))</f>
        <v>✅ Bonjour, la Fiveur Academy confirme la réception du paiement de 1750,0 MRU pour Younous SIDIBÉ. Inscription validée pour : Football. Merci de votre confiance ! ⚽ Fiveur Academy — Since 2023.</v>
      </c>
    </row>
    <row r="10" spans="1:10" ht="34.15">
      <c r="A10" s="28">
        <f>IF(Inscriptions!B4="","",Inscriptions!A4)</f>
        <v>2</v>
      </c>
      <c r="B10" s="28" t="str">
        <f>IF(Inscriptions!B4="","",Inscriptions!B4)</f>
        <v>SIDIBÉ</v>
      </c>
      <c r="C10" s="28" t="str">
        <f>IF(Inscriptions!B4="","",Inscriptions!C4)</f>
        <v>Zackaria</v>
      </c>
      <c r="D10" s="28" t="str">
        <f>IF(Inscriptions!B4="","",Inscriptions!G4)</f>
        <v>+222 49 83 01 84</v>
      </c>
      <c r="E10" s="28" t="str">
        <f>IF(Inscriptions!B4="","",IF(AND(Inscriptions!I4="Oui",Inscriptions!J4="Oui"),"Football + Loisirs",IF(Inscriptions!I4="Oui","Football",IF(Inscriptions!J4="Oui","Centre Loisirs",""))))</f>
        <v>Football</v>
      </c>
      <c r="F10" s="28">
        <f>IF(Inscriptions!B4="","",Inscriptions!N4)</f>
        <v>1750</v>
      </c>
      <c r="G10" s="28" t="str">
        <f>IF(Inscriptions!B4="","",Inscriptions!O4)</f>
        <v>Payé</v>
      </c>
      <c r="H10" s="28" t="str">
        <f ca="1">IF(Inscriptions!B4="","",IF(Inscriptions!S4="","—",Inscriptions!S4&amp;" j"))</f>
        <v>—</v>
      </c>
      <c r="I10" s="28" t="str">
        <f>IF(Inscriptions!B4="","",IF(Inscriptions!O4="Payé","✅ Confirmation",IF(AND(Inscriptions!S4&lt;&gt;"",Inscriptions!S4&gt;0),"🔴 Retard","🟡 Rappel")))</f>
        <v>✅ Confirmation</v>
      </c>
      <c r="J10" s="29" t="str">
        <f>IF(Inscriptions!B4="","",IF(Inscriptions!O4="Payé",SUBSTITUTE(SUBSTITUTE(SUBSTITUTE(SUBSTITUTE(C5,"{MONTANT}",TEXT(Inscriptions!N4,"#,##0")&amp;" MRU"),"{PRENOM}",Inscriptions!C4),"{NOM}",Inscriptions!B4),"{PRESTATION}",E10),IF(AND(Inscriptions!S4&lt;&gt;"",Inscriptions!S4&gt;0),SUBSTITUTE(SUBSTITUTE(SUBSTITUTE(SUBSTITUTE(C4,"{MONTANT}",TEXT(Inscriptions!N4,"#,##0")&amp;" MRU"),"{PRENOM}",Inscriptions!C4),"{NOM}",Inscriptions!B4),"{RETARD}",TEXT(Inscriptions!S4,"0")),SUBSTITUTE(SUBSTITUTE(SUBSTITUTE(SUBSTITUTE(SUBSTITUTE(C3,"{MONTANT}",TEXT(Inscriptions!N4,"#,##0")&amp;" MRU"),"{PRENOM}",Inscriptions!C4),"{NOM}",Inscriptions!B4),"{PRESTATION}",E10),"{DATE_LIMITE}",IF(Inscriptions!R4="","non définie",TEXT(Inscriptions!R4,"DD/MM/YYYY"))))))</f>
        <v>✅ Bonjour, la Fiveur Academy confirme la réception du paiement de 1750,0 MRU pour Zackaria SIDIBÉ. Inscription validée pour : Football. Merci de votre confiance ! ⚽ Fiveur Academy — Since 2023.</v>
      </c>
    </row>
    <row r="11" spans="1:10" ht="34.15">
      <c r="A11" s="26">
        <f>IF(Inscriptions!B5="","",Inscriptions!A5)</f>
        <v>3</v>
      </c>
      <c r="B11" s="26" t="str">
        <f>IF(Inscriptions!B5="","",Inscriptions!B5)</f>
        <v>DIALLO</v>
      </c>
      <c r="C11" s="26" t="str">
        <f>IF(Inscriptions!B5="","",Inscriptions!C5)</f>
        <v>Youssouf</v>
      </c>
      <c r="D11" s="26" t="str">
        <f>IF(Inscriptions!B5="","",Inscriptions!G5)</f>
        <v>+222 48 44 07 94</v>
      </c>
      <c r="E11" s="26" t="str">
        <f>IF(Inscriptions!B5="","",IF(AND(Inscriptions!I5="Oui",Inscriptions!J5="Oui"),"Football + Loisirs",IF(Inscriptions!I5="Oui","Football",IF(Inscriptions!J5="Oui","Centre Loisirs",""))))</f>
        <v>Football</v>
      </c>
      <c r="F11" s="26">
        <f>IF(Inscriptions!B5="","",Inscriptions!N5)</f>
        <v>2000</v>
      </c>
      <c r="G11" s="26" t="str">
        <f>IF(Inscriptions!B5="","",Inscriptions!O5)</f>
        <v>Payé</v>
      </c>
      <c r="H11" s="26" t="str">
        <f ca="1">IF(Inscriptions!B5="","",IF(Inscriptions!S5="","—",Inscriptions!S5&amp;" j"))</f>
        <v>—</v>
      </c>
      <c r="I11" s="26" t="str">
        <f>IF(Inscriptions!B5="","",IF(Inscriptions!O5="Payé","✅ Confirmation",IF(AND(Inscriptions!S5&lt;&gt;"",Inscriptions!S5&gt;0),"🔴 Retard","🟡 Rappel")))</f>
        <v>✅ Confirmation</v>
      </c>
      <c r="J11" s="27" t="str">
        <f>IF(Inscriptions!B5="","",IF(Inscriptions!O5="Payé",SUBSTITUTE(SUBSTITUTE(SUBSTITUTE(SUBSTITUTE(C5,"{MONTANT}",TEXT(Inscriptions!N5,"#,##0")&amp;" MRU"),"{PRENOM}",Inscriptions!C5),"{NOM}",Inscriptions!B5),"{PRESTATION}",E11),IF(AND(Inscriptions!S5&lt;&gt;"",Inscriptions!S5&gt;0),SUBSTITUTE(SUBSTITUTE(SUBSTITUTE(SUBSTITUTE(C4,"{MONTANT}",TEXT(Inscriptions!N5,"#,##0")&amp;" MRU"),"{PRENOM}",Inscriptions!C5),"{NOM}",Inscriptions!B5),"{RETARD}",TEXT(Inscriptions!S5,"0")),SUBSTITUTE(SUBSTITUTE(SUBSTITUTE(SUBSTITUTE(SUBSTITUTE(C3,"{MONTANT}",TEXT(Inscriptions!N5,"#,##0")&amp;" MRU"),"{PRENOM}",Inscriptions!C5),"{NOM}",Inscriptions!B5),"{PRESTATION}",E11),"{DATE_LIMITE}",IF(Inscriptions!R5="","non définie",TEXT(Inscriptions!R5,"DD/MM/YYYY"))))))</f>
        <v>✅ Bonjour, la Fiveur Academy confirme la réception du paiement de 2000,0 MRU pour Youssouf DIALLO. Inscription validée pour : Football. Merci de votre confiance ! ⚽ Fiveur Academy — Since 2023.</v>
      </c>
    </row>
    <row r="12" spans="1:10" ht="34.15">
      <c r="A12" s="28">
        <f>IF(Inscriptions!B6="","",Inscriptions!A6)</f>
        <v>4</v>
      </c>
      <c r="B12" s="28" t="str">
        <f>IF(Inscriptions!B6="","",Inscriptions!B6)</f>
        <v>THIAM</v>
      </c>
      <c r="C12" s="28" t="str">
        <f>IF(Inscriptions!B6="","",Inscriptions!C6)</f>
        <v>Mohamed</v>
      </c>
      <c r="D12" s="28" t="str">
        <f>IF(Inscriptions!B6="","",Inscriptions!G6)</f>
        <v>+222 41 53 98 46</v>
      </c>
      <c r="E12" s="28" t="str">
        <f>IF(Inscriptions!B6="","",IF(AND(Inscriptions!I6="Oui",Inscriptions!J6="Oui"),"Football + Loisirs",IF(Inscriptions!I6="Oui","Football",IF(Inscriptions!J6="Oui","Centre Loisirs",""))))</f>
        <v>Football</v>
      </c>
      <c r="F12" s="28">
        <f>IF(Inscriptions!B6="","",Inscriptions!N6)</f>
        <v>1000</v>
      </c>
      <c r="G12" s="28" t="str">
        <f>IF(Inscriptions!B6="","",Inscriptions!O6)</f>
        <v>Partiel</v>
      </c>
      <c r="H12" s="28" t="str">
        <f ca="1">IF(Inscriptions!B6="","",IF(Inscriptions!S6="","—",Inscriptions!S6&amp;" j"))</f>
        <v>27 j</v>
      </c>
      <c r="I12" s="28" t="str">
        <f ca="1">IF(Inscriptions!B6="","",IF(Inscriptions!O6="Payé","✅ Confirmation",IF(AND(Inscriptions!S6&lt;&gt;"",Inscriptions!S6&gt;0),"🔴 Retard","🟡 Rappel")))</f>
        <v>🔴 Retard</v>
      </c>
      <c r="J12" s="29" t="str">
        <f ca="1">IF(Inscriptions!B6="","",IF(Inscriptions!O6="Payé",SUBSTITUTE(SUBSTITUTE(SUBSTITUTE(SUBSTITUTE(C5,"{MONTANT}",TEXT(Inscriptions!N6,"#,##0")&amp;" MRU"),"{PRENOM}",Inscriptions!C6),"{NOM}",Inscriptions!B6),"{PRESTATION}",E12),IF(AND(Inscriptions!S6&lt;&gt;"",Inscriptions!S6&gt;0),SUBSTITUTE(SUBSTITUTE(SUBSTITUTE(SUBSTITUTE(C4,"{MONTANT}",TEXT(Inscriptions!N6,"#,##0")&amp;" MRU"),"{PRENOM}",Inscriptions!C6),"{NOM}",Inscriptions!B6),"{RETARD}",TEXT(Inscriptions!S6,"0")),SUBSTITUTE(SUBSTITUTE(SUBSTITUTE(SUBSTITUTE(SUBSTITUTE(C3,"{MONTANT}",TEXT(Inscriptions!N6,"#,##0")&amp;" MRU"),"{PRENOM}",Inscriptions!C6),"{NOM}",Inscriptions!B6),"{PRESTATION}",E12),"{DATE_LIMITE}",IF(Inscriptions!R6="","non définie",TEXT(Inscriptions!R6,"DD/MM/YYYY"))))))</f>
        <v>⚠️ Bonjour, la Fiveur Academy vous informe que le paiement de 1000,0 MRU pour Mohamed THIAM est en retard de 27 jour(s). Merci de procéder au règlement dans les plus brefs délais pour maintenir l'inscription. Contact : Fiveur Academy.</v>
      </c>
    </row>
    <row r="13" spans="1:10">
      <c r="A13" s="26">
        <f>IF(Inscriptions!B7="","",Inscriptions!A7)</f>
        <v>5</v>
      </c>
      <c r="B13" s="26" t="str">
        <f>IF(Inscriptions!B7="","",Inscriptions!B7)</f>
        <v>THIAM</v>
      </c>
      <c r="C13" s="26" t="str">
        <f>IF(Inscriptions!B7="","",Inscriptions!C7)</f>
        <v>Adama</v>
      </c>
      <c r="D13" s="26" t="str">
        <f>IF(Inscriptions!B7="","",Inscriptions!G7)</f>
        <v>+222 44 89 92 74</v>
      </c>
      <c r="E13" s="26" t="str">
        <f>IF(Inscriptions!B7="","",IF(AND(Inscriptions!I7="Oui",Inscriptions!J7="Oui"),"Football + Loisirs",IF(Inscriptions!I7="Oui","Football",IF(Inscriptions!J7="Oui","Centre Loisirs",""))))</f>
        <v>Football</v>
      </c>
      <c r="F13" s="26">
        <f>IF(Inscriptions!B7="","",Inscriptions!N7)</f>
        <v>1000</v>
      </c>
      <c r="G13" s="26" t="str">
        <f>IF(Inscriptions!B7="","",Inscriptions!O7)</f>
        <v>Partiel</v>
      </c>
      <c r="H13" s="26" t="str">
        <f ca="1">IF(Inscriptions!B7="","",IF(Inscriptions!S7="","—",Inscriptions!S7&amp;" j"))</f>
        <v>—</v>
      </c>
      <c r="I13" s="26" t="str">
        <f ca="1">IF(Inscriptions!B7="","",IF(Inscriptions!O7="Payé","✅ Confirmation",IF(AND(Inscriptions!S7&lt;&gt;"",Inscriptions!S7&gt;0),"🔴 Retard","🟡 Rappel")))</f>
        <v>🟡 Rappel</v>
      </c>
      <c r="J13" s="27" t="str">
        <f ca="1">IF(Inscriptions!B7="","",IF(Inscriptions!O7="Payé",SUBSTITUTE(SUBSTITUTE(SUBSTITUTE(SUBSTITUTE(C5,"{MONTANT}",TEXT(Inscriptions!N7,"#,##0")&amp;" MRU"),"{PRENOM}",Inscriptions!C7),"{NOM}",Inscriptions!B7),"{PRESTATION}",E13),IF(AND(Inscriptions!S7&lt;&gt;"",Inscriptions!S7&gt;0),SUBSTITUTE(SUBSTITUTE(SUBSTITUTE(SUBSTITUTE(C4,"{MONTANT}",TEXT(Inscriptions!N7,"#,##0")&amp;" MRU"),"{PRENOM}",Inscriptions!C7),"{NOM}",Inscriptions!B7),"{RETARD}",TEXT(Inscriptions!S7,"0")),SUBSTITUTE(SUBSTITUTE(SUBSTITUTE(SUBSTITUTE(SUBSTITUTE(C3,"{MONTANT}",TEXT(Inscriptions!N7,"#,##0")&amp;" MRU"),"{PRENOM}",Inscriptions!C7),"{NOM}",Inscriptions!B7),"{PRESTATION}",E13),"{DATE_LIMITE}",IF(Inscriptions!R7="","non définie",TEXT(Inscriptions!R7,"DD/MM/YYYY"))))))</f>
        <v>Bonjour, ceci est un rappel de la Fiveur Academy. Le paiement de 1000,0 MRU pour l'inscription de Adama THIAM (Football) est en attente. Date limite : non définie. Merci de régulariser. Cordialement, Fiveur Academy.</v>
      </c>
    </row>
    <row r="14" spans="1:10">
      <c r="A14" s="28">
        <f>IF(Inscriptions!B8="","",Inscriptions!A8)</f>
        <v>6</v>
      </c>
      <c r="B14" s="28" t="str">
        <f>IF(Inscriptions!B8="","",Inscriptions!B8)</f>
        <v>KOITA</v>
      </c>
      <c r="C14" s="28" t="str">
        <f>IF(Inscriptions!B8="","",Inscriptions!C8)</f>
        <v>Mohamed</v>
      </c>
      <c r="D14" s="28" t="str">
        <f>IF(Inscriptions!B8="","",Inscriptions!G8)</f>
        <v>+222 46 46 65 50</v>
      </c>
      <c r="E14" s="28" t="str">
        <f>IF(Inscriptions!B8="","",IF(AND(Inscriptions!I8="Oui",Inscriptions!J8="Oui"),"Football + Loisirs",IF(Inscriptions!I8="Oui","Football",IF(Inscriptions!J8="Oui","Centre Loisirs",""))))</f>
        <v>Football</v>
      </c>
      <c r="F14" s="28">
        <f>IF(Inscriptions!B8="","",Inscriptions!N8)</f>
        <v>0</v>
      </c>
      <c r="G14" s="28" t="str">
        <f>IF(Inscriptions!B8="","",Inscriptions!O8)</f>
        <v>Partiel</v>
      </c>
      <c r="H14" s="28" t="str">
        <f ca="1">IF(Inscriptions!B8="","",IF(Inscriptions!S8="","—",Inscriptions!S8&amp;" j"))</f>
        <v>—</v>
      </c>
      <c r="I14" s="28" t="str">
        <f ca="1">IF(Inscriptions!B8="","",IF(Inscriptions!O8="Payé","✅ Confirmation",IF(AND(Inscriptions!S8&lt;&gt;"",Inscriptions!S8&gt;0),"🔴 Retard","🟡 Rappel")))</f>
        <v>🟡 Rappel</v>
      </c>
      <c r="J14" s="29" t="str">
        <f ca="1">IF(Inscriptions!B8="","",IF(Inscriptions!O8="Payé",SUBSTITUTE(SUBSTITUTE(SUBSTITUTE(SUBSTITUTE(C5,"{MONTANT}",TEXT(Inscriptions!N8,"#,##0")&amp;" MRU"),"{PRENOM}",Inscriptions!C8),"{NOM}",Inscriptions!B8),"{PRESTATION}",E14),IF(AND(Inscriptions!S8&lt;&gt;"",Inscriptions!S8&gt;0),SUBSTITUTE(SUBSTITUTE(SUBSTITUTE(SUBSTITUTE(C4,"{MONTANT}",TEXT(Inscriptions!N8,"#,##0")&amp;" MRU"),"{PRENOM}",Inscriptions!C8),"{NOM}",Inscriptions!B8),"{RETARD}",TEXT(Inscriptions!S8,"0")),SUBSTITUTE(SUBSTITUTE(SUBSTITUTE(SUBSTITUTE(SUBSTITUTE(C3,"{MONTANT}",TEXT(Inscriptions!N8,"#,##0")&amp;" MRU"),"{PRENOM}",Inscriptions!C8),"{NOM}",Inscriptions!B8),"{PRESTATION}",E14),"{DATE_LIMITE}",IF(Inscriptions!R8="","non définie",TEXT(Inscriptions!R8,"DD/MM/YYYY"))))))</f>
        <v>Bonjour, ceci est un rappel de la Fiveur Academy. Le paiement de ,0 MRU pour l'inscription de Mohamed KOITA (Football) est en attente. Date limite : non définie. Merci de régulariser. Cordialement, Fiveur Academy.</v>
      </c>
    </row>
    <row r="15" spans="1:10">
      <c r="A15" s="26">
        <f>IF(Inscriptions!B9="","",Inscriptions!A9)</f>
        <v>7</v>
      </c>
      <c r="B15" s="26" t="str">
        <f>IF(Inscriptions!B9="","",Inscriptions!B9)</f>
        <v>KOITA</v>
      </c>
      <c r="C15" s="26" t="str">
        <f>IF(Inscriptions!B9="","",Inscriptions!C9)</f>
        <v>Youba</v>
      </c>
      <c r="D15" s="26" t="str">
        <f>IF(Inscriptions!B9="","",Inscriptions!G9)</f>
        <v>+222 46 46 65 50</v>
      </c>
      <c r="E15" s="26" t="str">
        <f>IF(Inscriptions!B9="","",IF(AND(Inscriptions!I9="Oui",Inscriptions!J9="Oui"),"Football + Loisirs",IF(Inscriptions!I9="Oui","Football",IF(Inscriptions!J9="Oui","Centre Loisirs",""))))</f>
        <v>Football</v>
      </c>
      <c r="F15" s="26">
        <f>IF(Inscriptions!B9="","",Inscriptions!N9)</f>
        <v>0</v>
      </c>
      <c r="G15" s="26" t="str">
        <f>IF(Inscriptions!B9="","",Inscriptions!O9)</f>
        <v>Partiel</v>
      </c>
      <c r="H15" s="26" t="str">
        <f ca="1">IF(Inscriptions!B9="","",IF(Inscriptions!S9="","—",Inscriptions!S9&amp;" j"))</f>
        <v>—</v>
      </c>
      <c r="I15" s="26" t="str">
        <f ca="1">IF(Inscriptions!B9="","",IF(Inscriptions!O9="Payé","✅ Confirmation",IF(AND(Inscriptions!S9&lt;&gt;"",Inscriptions!S9&gt;0),"🔴 Retard","🟡 Rappel")))</f>
        <v>🟡 Rappel</v>
      </c>
      <c r="J15" s="27" t="str">
        <f ca="1">IF(Inscriptions!B9="","",IF(Inscriptions!O9="Payé",SUBSTITUTE(SUBSTITUTE(SUBSTITUTE(SUBSTITUTE(C5,"{MONTANT}",TEXT(Inscriptions!N9,"#,##0")&amp;" MRU"),"{PRENOM}",Inscriptions!C9),"{NOM}",Inscriptions!B9),"{PRESTATION}",E15),IF(AND(Inscriptions!S9&lt;&gt;"",Inscriptions!S9&gt;0),SUBSTITUTE(SUBSTITUTE(SUBSTITUTE(SUBSTITUTE(C4,"{MONTANT}",TEXT(Inscriptions!N9,"#,##0")&amp;" MRU"),"{PRENOM}",Inscriptions!C9),"{NOM}",Inscriptions!B9),"{RETARD}",TEXT(Inscriptions!S9,"0")),SUBSTITUTE(SUBSTITUTE(SUBSTITUTE(SUBSTITUTE(SUBSTITUTE(C3,"{MONTANT}",TEXT(Inscriptions!N9,"#,##0")&amp;" MRU"),"{PRENOM}",Inscriptions!C9),"{NOM}",Inscriptions!B9),"{PRESTATION}",E15),"{DATE_LIMITE}",IF(Inscriptions!R9="","non définie",TEXT(Inscriptions!R9,"DD/MM/YYYY"))))))</f>
        <v>Bonjour, ceci est un rappel de la Fiveur Academy. Le paiement de ,0 MRU pour l'inscription de Youba KOITA (Football) est en attente. Date limite : non définie. Merci de régulariser. Cordialement, Fiveur Academy.</v>
      </c>
    </row>
    <row r="16" spans="1:10">
      <c r="A16" s="28">
        <f>IF(Inscriptions!B10="","",Inscriptions!A10)</f>
        <v>8</v>
      </c>
      <c r="B16" s="28" t="str">
        <f>IF(Inscriptions!B10="","",Inscriptions!B10)</f>
        <v>THIAM</v>
      </c>
      <c r="C16" s="28" t="str">
        <f>IF(Inscriptions!B10="","",Inscriptions!C10)</f>
        <v>Binta</v>
      </c>
      <c r="D16" s="28" t="str">
        <f>IF(Inscriptions!B10="","",Inscriptions!G10)</f>
        <v>+222 41 53 98 46</v>
      </c>
      <c r="E16" s="28" t="str">
        <f>IF(Inscriptions!B10="","",IF(AND(Inscriptions!I10="Oui",Inscriptions!J10="Oui"),"Football + Loisirs",IF(Inscriptions!I10="Oui","Football",IF(Inscriptions!J10="Oui","Centre Loisirs",""))))</f>
        <v>Football</v>
      </c>
      <c r="F16" s="28">
        <f>IF(Inscriptions!B10="","",Inscriptions!N10)</f>
        <v>1000</v>
      </c>
      <c r="G16" s="28" t="str">
        <f>IF(Inscriptions!B10="","",Inscriptions!O10)</f>
        <v>Partiel</v>
      </c>
      <c r="H16" s="28" t="str">
        <f ca="1">IF(Inscriptions!B10="","",IF(Inscriptions!S10="","—",Inscriptions!S10&amp;" j"))</f>
        <v>—</v>
      </c>
      <c r="I16" s="28" t="str">
        <f ca="1">IF(Inscriptions!B10="","",IF(Inscriptions!O10="Payé","✅ Confirmation",IF(AND(Inscriptions!S10&lt;&gt;"",Inscriptions!S10&gt;0),"🔴 Retard","🟡 Rappel")))</f>
        <v>🟡 Rappel</v>
      </c>
      <c r="J16" s="29" t="str">
        <f ca="1">IF(Inscriptions!B10="","",IF(Inscriptions!O10="Payé",SUBSTITUTE(SUBSTITUTE(SUBSTITUTE(SUBSTITUTE(C5,"{MONTANT}",TEXT(Inscriptions!N10,"#,##0")&amp;" MRU"),"{PRENOM}",Inscriptions!C10),"{NOM}",Inscriptions!B10),"{PRESTATION}",E16),IF(AND(Inscriptions!S10&lt;&gt;"",Inscriptions!S10&gt;0),SUBSTITUTE(SUBSTITUTE(SUBSTITUTE(SUBSTITUTE(C4,"{MONTANT}",TEXT(Inscriptions!N10,"#,##0")&amp;" MRU"),"{PRENOM}",Inscriptions!C10),"{NOM}",Inscriptions!B10),"{RETARD}",TEXT(Inscriptions!S10,"0")),SUBSTITUTE(SUBSTITUTE(SUBSTITUTE(SUBSTITUTE(SUBSTITUTE(C3,"{MONTANT}",TEXT(Inscriptions!N10,"#,##0")&amp;" MRU"),"{PRENOM}",Inscriptions!C10),"{NOM}",Inscriptions!B10),"{PRESTATION}",E16),"{DATE_LIMITE}",IF(Inscriptions!R10="","non définie",TEXT(Inscriptions!R10,"DD/MM/YYYY"))))))</f>
        <v>Bonjour, ceci est un rappel de la Fiveur Academy. Le paiement de 1000,0 MRU pour l'inscription de Binta THIAM (Football) est en attente. Date limite : non définie. Merci de régulariser. Cordialement, Fiveur Academy.</v>
      </c>
    </row>
    <row r="17" spans="1:10">
      <c r="A17" s="26">
        <f>IF(Inscriptions!B11="","",Inscriptions!A11)</f>
        <v>9</v>
      </c>
      <c r="B17" s="26" t="str">
        <f>IF(Inscriptions!B11="","",Inscriptions!B11)</f>
        <v>DIARRA</v>
      </c>
      <c r="C17" s="26" t="str">
        <f>IF(Inscriptions!B11="","",Inscriptions!C11)</f>
        <v>Ibrahim</v>
      </c>
      <c r="D17" s="26" t="str">
        <f>IF(Inscriptions!B11="","",Inscriptions!G11)</f>
        <v>+222 41 46 24 13</v>
      </c>
      <c r="E17" s="26" t="str">
        <f>IF(Inscriptions!B11="","",IF(AND(Inscriptions!I11="Oui",Inscriptions!J11="Oui"),"Football + Loisirs",IF(Inscriptions!I11="Oui","Football",IF(Inscriptions!J11="Oui","Centre Loisirs",""))))</f>
        <v>Football</v>
      </c>
      <c r="F17" s="26">
        <f>IF(Inscriptions!B11="","",Inscriptions!N11)</f>
        <v>1000</v>
      </c>
      <c r="G17" s="26" t="str">
        <f>IF(Inscriptions!B11="","",Inscriptions!O11)</f>
        <v>Partiel</v>
      </c>
      <c r="H17" s="26" t="str">
        <f ca="1">IF(Inscriptions!B11="","",IF(Inscriptions!S11="","—",Inscriptions!S11&amp;" j"))</f>
        <v>—</v>
      </c>
      <c r="I17" s="26" t="str">
        <f ca="1">IF(Inscriptions!B11="","",IF(Inscriptions!O11="Payé","✅ Confirmation",IF(AND(Inscriptions!S11&lt;&gt;"",Inscriptions!S11&gt;0),"🔴 Retard","🟡 Rappel")))</f>
        <v>🟡 Rappel</v>
      </c>
      <c r="J17" s="27" t="str">
        <f ca="1">IF(Inscriptions!B11="","",IF(Inscriptions!O11="Payé",SUBSTITUTE(SUBSTITUTE(SUBSTITUTE(SUBSTITUTE(C5,"{MONTANT}",TEXT(Inscriptions!N11,"#,##0")&amp;" MRU"),"{PRENOM}",Inscriptions!C11),"{NOM}",Inscriptions!B11),"{PRESTATION}",E17),IF(AND(Inscriptions!S11&lt;&gt;"",Inscriptions!S11&gt;0),SUBSTITUTE(SUBSTITUTE(SUBSTITUTE(SUBSTITUTE(C4,"{MONTANT}",TEXT(Inscriptions!N11,"#,##0")&amp;" MRU"),"{PRENOM}",Inscriptions!C11),"{NOM}",Inscriptions!B11),"{RETARD}",TEXT(Inscriptions!S11,"0")),SUBSTITUTE(SUBSTITUTE(SUBSTITUTE(SUBSTITUTE(SUBSTITUTE(C3,"{MONTANT}",TEXT(Inscriptions!N11,"#,##0")&amp;" MRU"),"{PRENOM}",Inscriptions!C11),"{NOM}",Inscriptions!B11),"{PRESTATION}",E17),"{DATE_LIMITE}",IF(Inscriptions!R11="","non définie",TEXT(Inscriptions!R11,"DD/MM/YYYY"))))))</f>
        <v>Bonjour, ceci est un rappel de la Fiveur Academy. Le paiement de 1000,0 MRU pour l'inscription de Ibrahim DIARRA (Football) est en attente. Date limite : non définie. Merci de régulariser. Cordialement, Fiveur Academy.</v>
      </c>
    </row>
    <row r="18" spans="1:10">
      <c r="A18" s="28">
        <f>IF(Inscriptions!B12="","",Inscriptions!A12)</f>
        <v>10</v>
      </c>
      <c r="B18" s="28" t="str">
        <f>IF(Inscriptions!B12="","",Inscriptions!B12)</f>
        <v>BA</v>
      </c>
      <c r="C18" s="28" t="str">
        <f>IF(Inscriptions!B12="","",Inscriptions!C12)</f>
        <v>Amadou</v>
      </c>
      <c r="D18" s="28" t="str">
        <f>IF(Inscriptions!B12="","",Inscriptions!G12)</f>
        <v>+222 46 33 74 63</v>
      </c>
      <c r="E18" s="28" t="str">
        <f>IF(Inscriptions!B12="","",IF(AND(Inscriptions!I12="Oui",Inscriptions!J12="Oui"),"Football + Loisirs",IF(Inscriptions!I12="Oui","Football",IF(Inscriptions!J12="Oui","Centre Loisirs",""))))</f>
        <v>Football</v>
      </c>
      <c r="F18" s="28">
        <f>IF(Inscriptions!B12="","",Inscriptions!N12)</f>
        <v>1000</v>
      </c>
      <c r="G18" s="28" t="str">
        <f>IF(Inscriptions!B12="","",Inscriptions!O12)</f>
        <v>Partiel</v>
      </c>
      <c r="H18" s="28" t="str">
        <f ca="1">IF(Inscriptions!B12="","",IF(Inscriptions!S12="","—",Inscriptions!S12&amp;" j"))</f>
        <v>—</v>
      </c>
      <c r="I18" s="28" t="str">
        <f ca="1">IF(Inscriptions!B12="","",IF(Inscriptions!O12="Payé","✅ Confirmation",IF(AND(Inscriptions!S12&lt;&gt;"",Inscriptions!S12&gt;0),"🔴 Retard","🟡 Rappel")))</f>
        <v>🟡 Rappel</v>
      </c>
      <c r="J18" s="29" t="str">
        <f ca="1">IF(Inscriptions!B12="","",IF(Inscriptions!O12="Payé",SUBSTITUTE(SUBSTITUTE(SUBSTITUTE(SUBSTITUTE(C5,"{MONTANT}",TEXT(Inscriptions!N12,"#,##0")&amp;" MRU"),"{PRENOM}",Inscriptions!C12),"{NOM}",Inscriptions!B12),"{PRESTATION}",E18),IF(AND(Inscriptions!S12&lt;&gt;"",Inscriptions!S12&gt;0),SUBSTITUTE(SUBSTITUTE(SUBSTITUTE(SUBSTITUTE(C4,"{MONTANT}",TEXT(Inscriptions!N12,"#,##0")&amp;" MRU"),"{PRENOM}",Inscriptions!C12),"{NOM}",Inscriptions!B12),"{RETARD}",TEXT(Inscriptions!S12,"0")),SUBSTITUTE(SUBSTITUTE(SUBSTITUTE(SUBSTITUTE(SUBSTITUTE(C3,"{MONTANT}",TEXT(Inscriptions!N12,"#,##0")&amp;" MRU"),"{PRENOM}",Inscriptions!C12),"{NOM}",Inscriptions!B12),"{PRESTATION}",E18),"{DATE_LIMITE}",IF(Inscriptions!R12="","non définie",TEXT(Inscriptions!R12,"DD/MM/YYYY"))))))</f>
        <v>Bonjour, ceci est un rappel de la Fiveur Academy. Le paiement de 1000,0 MRU pour l'inscription de Amadou BA (Football) est en attente. Date limite : non définie. Merci de régulariser. Cordialement, Fiveur Academy.</v>
      </c>
    </row>
    <row r="19" spans="1:10">
      <c r="A19" s="26">
        <f>IF(Inscriptions!B13="","",Inscriptions!A13)</f>
        <v>11</v>
      </c>
      <c r="B19" s="26" t="str">
        <f>IF(Inscriptions!B13="","",Inscriptions!B13)</f>
        <v xml:space="preserve">SAKHO </v>
      </c>
      <c r="C19" s="26" t="str">
        <f>IF(Inscriptions!B13="","",Inscriptions!C13)</f>
        <v>Boubou</v>
      </c>
      <c r="D19" s="26" t="str">
        <f>IF(Inscriptions!B13="","",Inscriptions!G13)</f>
        <v>+222 49 07 16 53</v>
      </c>
      <c r="E19" s="26" t="str">
        <f>IF(Inscriptions!B13="","",IF(AND(Inscriptions!I13="Oui",Inscriptions!J13="Oui"),"Football + Loisirs",IF(Inscriptions!I13="Oui","Football",IF(Inscriptions!J13="Oui","Centre Loisirs",""))))</f>
        <v>Football</v>
      </c>
      <c r="F19" s="26">
        <f>IF(Inscriptions!B13="","",Inscriptions!N13)</f>
        <v>2000</v>
      </c>
      <c r="G19" s="26" t="str">
        <f>IF(Inscriptions!B13="","",Inscriptions!O13)</f>
        <v>Payé</v>
      </c>
      <c r="H19" s="26" t="str">
        <f ca="1">IF(Inscriptions!B13="","",IF(Inscriptions!S13="","—",Inscriptions!S13&amp;" j"))</f>
        <v>—</v>
      </c>
      <c r="I19" s="26" t="str">
        <f>IF(Inscriptions!B13="","",IF(Inscriptions!O13="Payé","✅ Confirmation",IF(AND(Inscriptions!S13&lt;&gt;"",Inscriptions!S13&gt;0),"🔴 Retard","🟡 Rappel")))</f>
        <v>✅ Confirmation</v>
      </c>
      <c r="J19" s="27" t="str">
        <f>IF(Inscriptions!B13="","",IF(Inscriptions!O13="Payé",SUBSTITUTE(SUBSTITUTE(SUBSTITUTE(SUBSTITUTE(C5,"{MONTANT}",TEXT(Inscriptions!N13,"#,##0")&amp;" MRU"),"{PRENOM}",Inscriptions!C13),"{NOM}",Inscriptions!B13),"{PRESTATION}",E19),IF(AND(Inscriptions!S13&lt;&gt;"",Inscriptions!S13&gt;0),SUBSTITUTE(SUBSTITUTE(SUBSTITUTE(SUBSTITUTE(C4,"{MONTANT}",TEXT(Inscriptions!N13,"#,##0")&amp;" MRU"),"{PRENOM}",Inscriptions!C13),"{NOM}",Inscriptions!B13),"{RETARD}",TEXT(Inscriptions!S13,"0")),SUBSTITUTE(SUBSTITUTE(SUBSTITUTE(SUBSTITUTE(SUBSTITUTE(C3,"{MONTANT}",TEXT(Inscriptions!N13,"#,##0")&amp;" MRU"),"{PRENOM}",Inscriptions!C13),"{NOM}",Inscriptions!B13),"{PRESTATION}",E19),"{DATE_LIMITE}",IF(Inscriptions!R13="","non définie",TEXT(Inscriptions!R13,"DD/MM/YYYY"))))))</f>
        <v>✅ Bonjour, la Fiveur Academy confirme la réception du paiement de 2000,0 MRU pour Boubou SAKHO . Inscription validée pour : Football. Merci de votre confiance ! ⚽ Fiveur Academy — Since 2023.</v>
      </c>
    </row>
    <row r="20" spans="1:10">
      <c r="A20" s="28">
        <f>IF(Inscriptions!B14="","",Inscriptions!A14)</f>
        <v>12</v>
      </c>
      <c r="B20" s="28" t="str">
        <f>IF(Inscriptions!B14="","",Inscriptions!B14)</f>
        <v>DJIGO</v>
      </c>
      <c r="C20" s="28" t="str">
        <f>IF(Inscriptions!B14="","",Inscriptions!C14)</f>
        <v>Cheikh bay</v>
      </c>
      <c r="D20" s="28" t="str">
        <f>IF(Inscriptions!B14="","",Inscriptions!G14)</f>
        <v>+222 49 47 01 42</v>
      </c>
      <c r="E20" s="28" t="str">
        <f>IF(Inscriptions!B14="","",IF(AND(Inscriptions!I14="Oui",Inscriptions!J14="Oui"),"Football + Loisirs",IF(Inscriptions!I14="Oui","Football",IF(Inscriptions!J14="Oui","Centre Loisirs",""))))</f>
        <v>Football</v>
      </c>
      <c r="F20" s="28">
        <f>IF(Inscriptions!B14="","",Inscriptions!N14)</f>
        <v>0</v>
      </c>
      <c r="G20" s="28" t="str">
        <f>IF(Inscriptions!B14="","",Inscriptions!O14)</f>
        <v>En attente</v>
      </c>
      <c r="H20" s="28" t="str">
        <f>IF(Inscriptions!B14="","",IF(Inscriptions!S14="","—",Inscriptions!S14&amp;" j"))</f>
        <v>" j</v>
      </c>
      <c r="I20" s="28" t="str">
        <f>IF(Inscriptions!B14="","",IF(Inscriptions!O14="Payé","✅ Confirmation",IF(AND(Inscriptions!S14&lt;&gt;"",Inscriptions!S14&gt;0),"🔴 Retard","🟡 Rappel")))</f>
        <v>🔴 Retard</v>
      </c>
      <c r="J20" s="29" t="str">
        <f>IF(Inscriptions!B14="","",IF(Inscriptions!O14="Payé",SUBSTITUTE(SUBSTITUTE(SUBSTITUTE(SUBSTITUTE(C5,"{MONTANT}",TEXT(Inscriptions!N14,"#,##0")&amp;" MRU"),"{PRENOM}",Inscriptions!C14),"{NOM}",Inscriptions!B14),"{PRESTATION}",E20),IF(AND(Inscriptions!S14&lt;&gt;"",Inscriptions!S14&gt;0),SUBSTITUTE(SUBSTITUTE(SUBSTITUTE(SUBSTITUTE(C4,"{MONTANT}",TEXT(Inscriptions!N14,"#,##0")&amp;" MRU"),"{PRENOM}",Inscriptions!C14),"{NOM}",Inscriptions!B14),"{RETARD}",TEXT(Inscriptions!S14,"0")),SUBSTITUTE(SUBSTITUTE(SUBSTITUTE(SUBSTITUTE(SUBSTITUTE(C3,"{MONTANT}",TEXT(Inscriptions!N14,"#,##0")&amp;" MRU"),"{PRENOM}",Inscriptions!C14),"{NOM}",Inscriptions!B14),"{PRESTATION}",E20),"{DATE_LIMITE}",IF(Inscriptions!R14="","non définie",TEXT(Inscriptions!R14,"DD/MM/YYYY"))))))</f>
        <v>⚠️ Bonjour, la Fiveur Academy vous informe que le paiement de ,0 MRU pour Cheikh bay DJIGO est en retard de " jour(s). Merci de procéder au règlement dans les plus brefs délais pour maintenir l'inscription. Contact : Fiveur Academy.</v>
      </c>
    </row>
    <row r="21" spans="1:10">
      <c r="A21" s="26" t="str">
        <f>IF(Inscriptions!B15="","",Inscriptions!A15)</f>
        <v/>
      </c>
      <c r="B21" s="26" t="str">
        <f>IF(Inscriptions!B15="","",Inscriptions!B15)</f>
        <v/>
      </c>
      <c r="C21" s="26" t="str">
        <f>IF(Inscriptions!B15="","",Inscriptions!C15)</f>
        <v/>
      </c>
      <c r="D21" s="26" t="str">
        <f>IF(Inscriptions!B15="","",Inscriptions!G15)</f>
        <v/>
      </c>
      <c r="E21" s="26" t="str">
        <f>IF(Inscriptions!B15="","",IF(AND(Inscriptions!I15="Oui",Inscriptions!J15="Oui"),"Football + Loisirs",IF(Inscriptions!I15="Oui","Football",IF(Inscriptions!J15="Oui","Centre Loisirs",""))))</f>
        <v/>
      </c>
      <c r="F21" s="26" t="str">
        <f>IF(Inscriptions!B15="","",Inscriptions!N15)</f>
        <v/>
      </c>
      <c r="G21" s="26" t="str">
        <f>IF(Inscriptions!B15="","",Inscriptions!O15)</f>
        <v/>
      </c>
      <c r="H21" s="26" t="str">
        <f>IF(Inscriptions!B15="","",IF(Inscriptions!S15="","—",Inscriptions!S15&amp;" j"))</f>
        <v/>
      </c>
      <c r="I21" s="26" t="str">
        <f>IF(Inscriptions!B15="","",IF(Inscriptions!O15="Payé","✅ Confirmation",IF(AND(Inscriptions!S15&lt;&gt;"",Inscriptions!S15&gt;0),"🔴 Retard","🟡 Rappel")))</f>
        <v/>
      </c>
      <c r="J21" s="27" t="str">
        <f>IF(Inscriptions!B15="","",IF(Inscriptions!O15="Payé",SUBSTITUTE(SUBSTITUTE(SUBSTITUTE(SUBSTITUTE(C5,"{MONTANT}",TEXT(Inscriptions!N15,"#,##0")&amp;" MRU"),"{PRENOM}",Inscriptions!C15),"{NOM}",Inscriptions!B15),"{PRESTATION}",E21),IF(AND(Inscriptions!S15&lt;&gt;"",Inscriptions!S15&gt;0),SUBSTITUTE(SUBSTITUTE(SUBSTITUTE(SUBSTITUTE(C4,"{MONTANT}",TEXT(Inscriptions!N15,"#,##0")&amp;" MRU"),"{PRENOM}",Inscriptions!C15),"{NOM}",Inscriptions!B15),"{RETARD}",TEXT(Inscriptions!S15,"0")),SUBSTITUTE(SUBSTITUTE(SUBSTITUTE(SUBSTITUTE(SUBSTITUTE(C3,"{MONTANT}",TEXT(Inscriptions!N15,"#,##0")&amp;" MRU"),"{PRENOM}",Inscriptions!C15),"{NOM}",Inscriptions!B15),"{PRESTATION}",E21),"{DATE_LIMITE}",IF(Inscriptions!R15="","non définie",TEXT(Inscriptions!R15,"DD/MM/YYYY"))))))</f>
        <v/>
      </c>
    </row>
    <row r="22" spans="1:10">
      <c r="A22" s="28" t="str">
        <f>IF(Inscriptions!B16="","",Inscriptions!A16)</f>
        <v/>
      </c>
      <c r="B22" s="28" t="str">
        <f>IF(Inscriptions!B16="","",Inscriptions!B16)</f>
        <v/>
      </c>
      <c r="C22" s="28" t="str">
        <f>IF(Inscriptions!B16="","",Inscriptions!C16)</f>
        <v/>
      </c>
      <c r="D22" s="28" t="str">
        <f>IF(Inscriptions!B16="","",Inscriptions!G16)</f>
        <v/>
      </c>
      <c r="E22" s="28" t="str">
        <f>IF(Inscriptions!B16="","",IF(AND(Inscriptions!I16="Oui",Inscriptions!J16="Oui"),"Football + Loisirs",IF(Inscriptions!I16="Oui","Football",IF(Inscriptions!J16="Oui","Centre Loisirs",""))))</f>
        <v/>
      </c>
      <c r="F22" s="28" t="str">
        <f>IF(Inscriptions!B16="","",Inscriptions!N16)</f>
        <v/>
      </c>
      <c r="G22" s="28" t="str">
        <f>IF(Inscriptions!B16="","",Inscriptions!O16)</f>
        <v/>
      </c>
      <c r="H22" s="28" t="str">
        <f>IF(Inscriptions!B16="","",IF(Inscriptions!S16="","—",Inscriptions!S16&amp;" j"))</f>
        <v/>
      </c>
      <c r="I22" s="28" t="str">
        <f>IF(Inscriptions!B16="","",IF(Inscriptions!O16="Payé","✅ Confirmation",IF(AND(Inscriptions!S16&lt;&gt;"",Inscriptions!S16&gt;0),"🔴 Retard","🟡 Rappel")))</f>
        <v/>
      </c>
      <c r="J22" s="29" t="str">
        <f>IF(Inscriptions!B16="","",IF(Inscriptions!O16="Payé",SUBSTITUTE(SUBSTITUTE(SUBSTITUTE(SUBSTITUTE(C5,"{MONTANT}",TEXT(Inscriptions!N16,"#,##0")&amp;" MRU"),"{PRENOM}",Inscriptions!C16),"{NOM}",Inscriptions!B16),"{PRESTATION}",E22),IF(AND(Inscriptions!S16&lt;&gt;"",Inscriptions!S16&gt;0),SUBSTITUTE(SUBSTITUTE(SUBSTITUTE(SUBSTITUTE(C4,"{MONTANT}",TEXT(Inscriptions!N16,"#,##0")&amp;" MRU"),"{PRENOM}",Inscriptions!C16),"{NOM}",Inscriptions!B16),"{RETARD}",TEXT(Inscriptions!S16,"0")),SUBSTITUTE(SUBSTITUTE(SUBSTITUTE(SUBSTITUTE(SUBSTITUTE(C3,"{MONTANT}",TEXT(Inscriptions!N16,"#,##0")&amp;" MRU"),"{PRENOM}",Inscriptions!C16),"{NOM}",Inscriptions!B16),"{PRESTATION}",E22),"{DATE_LIMITE}",IF(Inscriptions!R16="","non définie",TEXT(Inscriptions!R16,"DD/MM/YYYY"))))))</f>
        <v/>
      </c>
    </row>
    <row r="23" spans="1:10">
      <c r="A23" s="26">
        <f>IF(Inscriptions!B17="","",Inscriptions!A17)</f>
        <v>15</v>
      </c>
      <c r="B23" s="26" t="str">
        <f>IF(Inscriptions!B17="","",Inscriptions!B17)</f>
        <v>NBODJ</v>
      </c>
      <c r="C23" s="26" t="str">
        <f>IF(Inscriptions!B17="","",Inscriptions!C17)</f>
        <v>Babacar</v>
      </c>
      <c r="D23" s="26" t="str">
        <f>IF(Inscriptions!B17="","",Inscriptions!G17)</f>
        <v>+222 44 89 97 98</v>
      </c>
      <c r="E23" s="26" t="str">
        <f>IF(Inscriptions!B17="","",IF(AND(Inscriptions!I17="Oui",Inscriptions!J17="Oui"),"Football + Loisirs",IF(Inscriptions!I17="Oui","Football",IF(Inscriptions!J17="Oui","Centre Loisirs",""))))</f>
        <v>Football</v>
      </c>
      <c r="F23" s="26">
        <f>IF(Inscriptions!B17="","",Inscriptions!N17)</f>
        <v>2000</v>
      </c>
      <c r="G23" s="26" t="str">
        <f>IF(Inscriptions!B17="","",Inscriptions!O17)</f>
        <v>Payé</v>
      </c>
      <c r="H23" s="26" t="str">
        <f ca="1">IF(Inscriptions!B17="","",IF(Inscriptions!S17="","—",Inscriptions!S17&amp;" j"))</f>
        <v>—</v>
      </c>
      <c r="I23" s="26" t="str">
        <f>IF(Inscriptions!B17="","",IF(Inscriptions!O17="Payé","✅ Confirmation",IF(AND(Inscriptions!S17&lt;&gt;"",Inscriptions!S17&gt;0),"🔴 Retard","🟡 Rappel")))</f>
        <v>✅ Confirmation</v>
      </c>
      <c r="J23" s="27" t="str">
        <f>IF(Inscriptions!B17="","",IF(Inscriptions!O17="Payé",SUBSTITUTE(SUBSTITUTE(SUBSTITUTE(SUBSTITUTE(C5,"{MONTANT}",TEXT(Inscriptions!N17,"#,##0")&amp;" MRU"),"{PRENOM}",Inscriptions!C17),"{NOM}",Inscriptions!B17),"{PRESTATION}",E23),IF(AND(Inscriptions!S17&lt;&gt;"",Inscriptions!S17&gt;0),SUBSTITUTE(SUBSTITUTE(SUBSTITUTE(SUBSTITUTE(C4,"{MONTANT}",TEXT(Inscriptions!N17,"#,##0")&amp;" MRU"),"{PRENOM}",Inscriptions!C17),"{NOM}",Inscriptions!B17),"{RETARD}",TEXT(Inscriptions!S17,"0")),SUBSTITUTE(SUBSTITUTE(SUBSTITUTE(SUBSTITUTE(SUBSTITUTE(C3,"{MONTANT}",TEXT(Inscriptions!N17,"#,##0")&amp;" MRU"),"{PRENOM}",Inscriptions!C17),"{NOM}",Inscriptions!B17),"{PRESTATION}",E23),"{DATE_LIMITE}",IF(Inscriptions!R17="","non définie",TEXT(Inscriptions!R17,"DD/MM/YYYY"))))))</f>
        <v>✅ Bonjour, la Fiveur Academy confirme la réception du paiement de 2000,0 MRU pour Babacar NBODJ. Inscription validée pour : Football. Merci de votre confiance ! ⚽ Fiveur Academy — Since 2023.</v>
      </c>
    </row>
    <row r="24" spans="1:10">
      <c r="A24" s="28">
        <f>IF(Inscriptions!B18="","",Inscriptions!A18)</f>
        <v>16</v>
      </c>
      <c r="B24" s="28" t="str">
        <f>IF(Inscriptions!B18="","",Inscriptions!B18)</f>
        <v>KANE</v>
      </c>
      <c r="C24" s="28" t="str">
        <f>IF(Inscriptions!B18="","",Inscriptions!C18)</f>
        <v>Alassane</v>
      </c>
      <c r="D24" s="28" t="str">
        <f>IF(Inscriptions!B18="","",Inscriptions!G18)</f>
        <v>+222 42 63 50 50</v>
      </c>
      <c r="E24" s="28" t="str">
        <f>IF(Inscriptions!B18="","",IF(AND(Inscriptions!I18="Oui",Inscriptions!J18="Oui"),"Football + Loisirs",IF(Inscriptions!I18="Oui","Football",IF(Inscriptions!J18="Oui","Centre Loisirs",""))))</f>
        <v>Football</v>
      </c>
      <c r="F24" s="28">
        <f>IF(Inscriptions!B18="","",Inscriptions!N18)</f>
        <v>3000</v>
      </c>
      <c r="G24" s="28" t="str">
        <f>IF(Inscriptions!B18="","",Inscriptions!O18)</f>
        <v>Payé</v>
      </c>
      <c r="H24" s="28" t="str">
        <f ca="1">IF(Inscriptions!B18="","",IF(Inscriptions!S18="","—",Inscriptions!S18&amp;" j"))</f>
        <v>—</v>
      </c>
      <c r="I24" s="28" t="str">
        <f>IF(Inscriptions!B18="","",IF(Inscriptions!O18="Payé","✅ Confirmation",IF(AND(Inscriptions!S18&lt;&gt;"",Inscriptions!S18&gt;0),"🔴 Retard","🟡 Rappel")))</f>
        <v>✅ Confirmation</v>
      </c>
      <c r="J24" s="29" t="str">
        <f>IF(Inscriptions!B18="","",IF(Inscriptions!O18="Payé",SUBSTITUTE(SUBSTITUTE(SUBSTITUTE(SUBSTITUTE(C5,"{MONTANT}",TEXT(Inscriptions!N18,"#,##0")&amp;" MRU"),"{PRENOM}",Inscriptions!C18),"{NOM}",Inscriptions!B18),"{PRESTATION}",E24),IF(AND(Inscriptions!S18&lt;&gt;"",Inscriptions!S18&gt;0),SUBSTITUTE(SUBSTITUTE(SUBSTITUTE(SUBSTITUTE(C4,"{MONTANT}",TEXT(Inscriptions!N18,"#,##0")&amp;" MRU"),"{PRENOM}",Inscriptions!C18),"{NOM}",Inscriptions!B18),"{RETARD}",TEXT(Inscriptions!S18,"0")),SUBSTITUTE(SUBSTITUTE(SUBSTITUTE(SUBSTITUTE(SUBSTITUTE(C3,"{MONTANT}",TEXT(Inscriptions!N18,"#,##0")&amp;" MRU"),"{PRENOM}",Inscriptions!C18),"{NOM}",Inscriptions!B18),"{PRESTATION}",E24),"{DATE_LIMITE}",IF(Inscriptions!R18="","non définie",TEXT(Inscriptions!R18,"DD/MM/YYYY"))))))</f>
        <v>✅ Bonjour, la Fiveur Academy confirme la réception du paiement de 3000,0 MRU pour Alassane KANE. Inscription validée pour : Football. Merci de votre confiance ! ⚽ Fiveur Academy — Since 2023.</v>
      </c>
    </row>
    <row r="25" spans="1:10">
      <c r="A25" s="26">
        <f>IF(Inscriptions!B19="","",Inscriptions!A19)</f>
        <v>17</v>
      </c>
      <c r="B25" s="26" t="str">
        <f>IF(Inscriptions!B19="","",Inscriptions!B19)</f>
        <v>DIALLO</v>
      </c>
      <c r="C25" s="26" t="str">
        <f>IF(Inscriptions!B19="","",Inscriptions!C19)</f>
        <v>Abou</v>
      </c>
      <c r="D25" s="26" t="str">
        <f>IF(Inscriptions!B19="","",Inscriptions!G19)</f>
        <v>+222 48 44 07 94</v>
      </c>
      <c r="E25" s="26" t="str">
        <f>IF(Inscriptions!B19="","",IF(AND(Inscriptions!I19="Oui",Inscriptions!J19="Oui"),"Football + Loisirs",IF(Inscriptions!I19="Oui","Football",IF(Inscriptions!J19="Oui","Centre Loisirs",""))))</f>
        <v>Football</v>
      </c>
      <c r="F25" s="26">
        <f>IF(Inscriptions!B19="","",Inscriptions!N19)</f>
        <v>2000</v>
      </c>
      <c r="G25" s="26" t="str">
        <f>IF(Inscriptions!B19="","",Inscriptions!O19)</f>
        <v>Payé</v>
      </c>
      <c r="H25" s="26" t="str">
        <f ca="1">IF(Inscriptions!B19="","",IF(Inscriptions!S19="","—",Inscriptions!S19&amp;" j"))</f>
        <v>—</v>
      </c>
      <c r="I25" s="26" t="str">
        <f>IF(Inscriptions!B19="","",IF(Inscriptions!O19="Payé","✅ Confirmation",IF(AND(Inscriptions!S19&lt;&gt;"",Inscriptions!S19&gt;0),"🔴 Retard","🟡 Rappel")))</f>
        <v>✅ Confirmation</v>
      </c>
      <c r="J25" s="27" t="str">
        <f>IF(Inscriptions!B19="","",IF(Inscriptions!O19="Payé",SUBSTITUTE(SUBSTITUTE(SUBSTITUTE(SUBSTITUTE(C5,"{MONTANT}",TEXT(Inscriptions!N19,"#,##0")&amp;" MRU"),"{PRENOM}",Inscriptions!C19),"{NOM}",Inscriptions!B19),"{PRESTATION}",E25),IF(AND(Inscriptions!S19&lt;&gt;"",Inscriptions!S19&gt;0),SUBSTITUTE(SUBSTITUTE(SUBSTITUTE(SUBSTITUTE(C4,"{MONTANT}",TEXT(Inscriptions!N19,"#,##0")&amp;" MRU"),"{PRENOM}",Inscriptions!C19),"{NOM}",Inscriptions!B19),"{RETARD}",TEXT(Inscriptions!S19,"0")),SUBSTITUTE(SUBSTITUTE(SUBSTITUTE(SUBSTITUTE(SUBSTITUTE(C3,"{MONTANT}",TEXT(Inscriptions!N19,"#,##0")&amp;" MRU"),"{PRENOM}",Inscriptions!C19),"{NOM}",Inscriptions!B19),"{PRESTATION}",E25),"{DATE_LIMITE}",IF(Inscriptions!R19="","non définie",TEXT(Inscriptions!R19,"DD/MM/YYYY"))))))</f>
        <v>✅ Bonjour, la Fiveur Academy confirme la réception du paiement de 2000,0 MRU pour Abou DIALLO. Inscription validée pour : Football. Merci de votre confiance ! ⚽ Fiveur Academy — Since 2023.</v>
      </c>
    </row>
    <row r="26" spans="1:10">
      <c r="A26" s="28">
        <f>IF(Inscriptions!B20="","",Inscriptions!A20)</f>
        <v>18</v>
      </c>
      <c r="B26" s="28" t="str">
        <f>IF(Inscriptions!B20="","",Inscriptions!B20)</f>
        <v>SOW</v>
      </c>
      <c r="C26" s="28" t="str">
        <f>IF(Inscriptions!B20="","",Inscriptions!C20)</f>
        <v>Mohamed</v>
      </c>
      <c r="D26" s="28" t="str">
        <f>IF(Inscriptions!B20="","",Inscriptions!G20)</f>
        <v>+222 44 89 97 98</v>
      </c>
      <c r="E26" s="28" t="str">
        <f>IF(Inscriptions!B20="","",IF(AND(Inscriptions!I20="Oui",Inscriptions!J20="Oui"),"Football + Loisirs",IF(Inscriptions!I20="Oui","Football",IF(Inscriptions!J20="Oui","Centre Loisirs",""))))</f>
        <v>Football</v>
      </c>
      <c r="F26" s="28">
        <f>IF(Inscriptions!B20="","",Inscriptions!N20)</f>
        <v>0</v>
      </c>
      <c r="G26" s="28">
        <f>IF(Inscriptions!B20="","",Inscriptions!O20)</f>
        <v>0</v>
      </c>
      <c r="H26" s="28" t="str">
        <f ca="1">IF(Inscriptions!B20="","",IF(Inscriptions!S20="","—",Inscriptions!S20&amp;" j"))</f>
        <v>—</v>
      </c>
      <c r="I26" s="28" t="str">
        <f ca="1">IF(Inscriptions!B20="","",IF(Inscriptions!O20="Payé","✅ Confirmation",IF(AND(Inscriptions!S20&lt;&gt;"",Inscriptions!S20&gt;0),"🔴 Retard","🟡 Rappel")))</f>
        <v>🟡 Rappel</v>
      </c>
      <c r="J26" s="29" t="str">
        <f ca="1">IF(Inscriptions!B20="","",IF(Inscriptions!O20="Payé",SUBSTITUTE(SUBSTITUTE(SUBSTITUTE(SUBSTITUTE(C5,"{MONTANT}",TEXT(Inscriptions!N20,"#,##0")&amp;" MRU"),"{PRENOM}",Inscriptions!C20),"{NOM}",Inscriptions!B20),"{PRESTATION}",E26),IF(AND(Inscriptions!S20&lt;&gt;"",Inscriptions!S20&gt;0),SUBSTITUTE(SUBSTITUTE(SUBSTITUTE(SUBSTITUTE(C4,"{MONTANT}",TEXT(Inscriptions!N20,"#,##0")&amp;" MRU"),"{PRENOM}",Inscriptions!C20),"{NOM}",Inscriptions!B20),"{RETARD}",TEXT(Inscriptions!S20,"0")),SUBSTITUTE(SUBSTITUTE(SUBSTITUTE(SUBSTITUTE(SUBSTITUTE(C3,"{MONTANT}",TEXT(Inscriptions!N20,"#,##0")&amp;" MRU"),"{PRENOM}",Inscriptions!C20),"{NOM}",Inscriptions!B20),"{PRESTATION}",E26),"{DATE_LIMITE}",IF(Inscriptions!R20="","non définie",TEXT(Inscriptions!R20,"DD/MM/YYYY"))))))</f>
        <v>Bonjour, ceci est un rappel de la Fiveur Academy. Le paiement de ,0 MRU pour l'inscription de Mohamed SOW (Football) est en attente. Date limite : non définie. Merci de régulariser. Cordialement, Fiveur Academy.</v>
      </c>
    </row>
    <row r="27" spans="1:10">
      <c r="A27" s="26">
        <f>IF(Inscriptions!B21="","",Inscriptions!A21)</f>
        <v>19</v>
      </c>
      <c r="B27" s="26" t="str">
        <f>IF(Inscriptions!B21="","",Inscriptions!B21)</f>
        <v>DIALLO</v>
      </c>
      <c r="C27" s="26" t="str">
        <f>IF(Inscriptions!B21="","",Inscriptions!C21)</f>
        <v>Souleymane</v>
      </c>
      <c r="D27" s="26" t="str">
        <f>IF(Inscriptions!B21="","",Inscriptions!G21)</f>
        <v>+222 26 31 86 93</v>
      </c>
      <c r="E27" s="26" t="str">
        <f>IF(Inscriptions!B21="","",IF(AND(Inscriptions!I21="Oui",Inscriptions!J21="Oui"),"Football + Loisirs",IF(Inscriptions!I21="Oui","Football",IF(Inscriptions!J21="Oui","Centre Loisirs",""))))</f>
        <v>Football</v>
      </c>
      <c r="F27" s="26">
        <f>IF(Inscriptions!B21="","",Inscriptions!N21)</f>
        <v>0</v>
      </c>
      <c r="G27" s="26" t="str">
        <f>IF(Inscriptions!B21="","",Inscriptions!O21)</f>
        <v>Partiel</v>
      </c>
      <c r="H27" s="26" t="str">
        <f ca="1">IF(Inscriptions!B21="","",IF(Inscriptions!S21="","—",Inscriptions!S21&amp;" j"))</f>
        <v>—</v>
      </c>
      <c r="I27" s="26" t="str">
        <f ca="1">IF(Inscriptions!B21="","",IF(Inscriptions!O21="Payé","✅ Confirmation",IF(AND(Inscriptions!S21&lt;&gt;"",Inscriptions!S21&gt;0),"🔴 Retard","🟡 Rappel")))</f>
        <v>🟡 Rappel</v>
      </c>
      <c r="J27" s="27" t="str">
        <f ca="1">IF(Inscriptions!B21="","",IF(Inscriptions!O21="Payé",SUBSTITUTE(SUBSTITUTE(SUBSTITUTE(SUBSTITUTE(C5,"{MONTANT}",TEXT(Inscriptions!N21,"#,##0")&amp;" MRU"),"{PRENOM}",Inscriptions!C21),"{NOM}",Inscriptions!B21),"{PRESTATION}",E27),IF(AND(Inscriptions!S21&lt;&gt;"",Inscriptions!S21&gt;0),SUBSTITUTE(SUBSTITUTE(SUBSTITUTE(SUBSTITUTE(C4,"{MONTANT}",TEXT(Inscriptions!N21,"#,##0")&amp;" MRU"),"{PRENOM}",Inscriptions!C21),"{NOM}",Inscriptions!B21),"{RETARD}",TEXT(Inscriptions!S21,"0")),SUBSTITUTE(SUBSTITUTE(SUBSTITUTE(SUBSTITUTE(SUBSTITUTE(C3,"{MONTANT}",TEXT(Inscriptions!N21,"#,##0")&amp;" MRU"),"{PRENOM}",Inscriptions!C21),"{NOM}",Inscriptions!B21),"{PRESTATION}",E27),"{DATE_LIMITE}",IF(Inscriptions!R21="","non définie",TEXT(Inscriptions!R21,"DD/MM/YYYY"))))))</f>
        <v>Bonjour, ceci est un rappel de la Fiveur Academy. Le paiement de ,0 MRU pour l'inscription de Souleymane DIALLO (Football) est en attente. Date limite : non définie. Merci de régulariser. Cordialement, Fiveur Academy.</v>
      </c>
    </row>
    <row r="28" spans="1:10">
      <c r="A28" s="28" t="str">
        <f>IF(Inscriptions!B22="","",Inscriptions!A22)</f>
        <v/>
      </c>
      <c r="B28" s="28" t="str">
        <f>IF(Inscriptions!B22="","",Inscriptions!B22)</f>
        <v/>
      </c>
      <c r="C28" s="28" t="str">
        <f>IF(Inscriptions!B22="","",Inscriptions!C22)</f>
        <v/>
      </c>
      <c r="D28" s="28" t="str">
        <f>IF(Inscriptions!B22="","",Inscriptions!G22)</f>
        <v/>
      </c>
      <c r="E28" s="28" t="str">
        <f>IF(Inscriptions!B22="","",IF(AND(Inscriptions!I22="Oui",Inscriptions!J22="Oui"),"Football + Loisirs",IF(Inscriptions!I22="Oui","Football",IF(Inscriptions!J22="Oui","Centre Loisirs",""))))</f>
        <v/>
      </c>
      <c r="F28" s="28" t="str">
        <f>IF(Inscriptions!B22="","",Inscriptions!N22)</f>
        <v/>
      </c>
      <c r="G28" s="28" t="str">
        <f>IF(Inscriptions!B22="","",Inscriptions!O22)</f>
        <v/>
      </c>
      <c r="H28" s="28" t="str">
        <f>IF(Inscriptions!B22="","",IF(Inscriptions!S22="","—",Inscriptions!S22&amp;" j"))</f>
        <v/>
      </c>
      <c r="I28" s="28" t="str">
        <f>IF(Inscriptions!B22="","",IF(Inscriptions!O22="Payé","✅ Confirmation",IF(AND(Inscriptions!S22&lt;&gt;"",Inscriptions!S22&gt;0),"🔴 Retard","🟡 Rappel")))</f>
        <v/>
      </c>
      <c r="J28" s="29" t="str">
        <f>IF(Inscriptions!B22="","",IF(Inscriptions!O22="Payé",SUBSTITUTE(SUBSTITUTE(SUBSTITUTE(SUBSTITUTE(C5,"{MONTANT}",TEXT(Inscriptions!N22,"#,##0")&amp;" MRU"),"{PRENOM}",Inscriptions!C22),"{NOM}",Inscriptions!B22),"{PRESTATION}",E28),IF(AND(Inscriptions!S22&lt;&gt;"",Inscriptions!S22&gt;0),SUBSTITUTE(SUBSTITUTE(SUBSTITUTE(SUBSTITUTE(C4,"{MONTANT}",TEXT(Inscriptions!N22,"#,##0")&amp;" MRU"),"{PRENOM}",Inscriptions!C22),"{NOM}",Inscriptions!B22),"{RETARD}",TEXT(Inscriptions!S22,"0")),SUBSTITUTE(SUBSTITUTE(SUBSTITUTE(SUBSTITUTE(SUBSTITUTE(C3,"{MONTANT}",TEXT(Inscriptions!N22,"#,##0")&amp;" MRU"),"{PRENOM}",Inscriptions!C22),"{NOM}",Inscriptions!B22),"{PRESTATION}",E28),"{DATE_LIMITE}",IF(Inscriptions!R22="","non définie",TEXT(Inscriptions!R22,"DD/MM/YYYY"))))))</f>
        <v/>
      </c>
    </row>
    <row r="29" spans="1:10">
      <c r="A29" s="26" t="str">
        <f>IF(Inscriptions!B23="","",Inscriptions!A23)</f>
        <v/>
      </c>
      <c r="B29" s="26" t="str">
        <f>IF(Inscriptions!B23="","",Inscriptions!B23)</f>
        <v/>
      </c>
      <c r="C29" s="26" t="str">
        <f>IF(Inscriptions!B23="","",Inscriptions!C23)</f>
        <v/>
      </c>
      <c r="D29" s="26" t="str">
        <f>IF(Inscriptions!B23="","",Inscriptions!G23)</f>
        <v/>
      </c>
      <c r="E29" s="26" t="str">
        <f>IF(Inscriptions!B23="","",IF(AND(Inscriptions!I23="Oui",Inscriptions!J23="Oui"),"Football + Loisirs",IF(Inscriptions!I23="Oui","Football",IF(Inscriptions!J23="Oui","Centre Loisirs",""))))</f>
        <v/>
      </c>
      <c r="F29" s="26" t="str">
        <f>IF(Inscriptions!B23="","",Inscriptions!N23)</f>
        <v/>
      </c>
      <c r="G29" s="26" t="str">
        <f>IF(Inscriptions!B23="","",Inscriptions!O23)</f>
        <v/>
      </c>
      <c r="H29" s="26" t="str">
        <f>IF(Inscriptions!B23="","",IF(Inscriptions!S23="","—",Inscriptions!S23&amp;" j"))</f>
        <v/>
      </c>
      <c r="I29" s="26" t="str">
        <f>IF(Inscriptions!B23="","",IF(Inscriptions!O23="Payé","✅ Confirmation",IF(AND(Inscriptions!S23&lt;&gt;"",Inscriptions!S23&gt;0),"🔴 Retard","🟡 Rappel")))</f>
        <v/>
      </c>
      <c r="J29" s="27" t="str">
        <f>IF(Inscriptions!B23="","",IF(Inscriptions!O23="Payé",SUBSTITUTE(SUBSTITUTE(SUBSTITUTE(SUBSTITUTE(C5,"{MONTANT}",TEXT(Inscriptions!N23,"#,##0")&amp;" MRU"),"{PRENOM}",Inscriptions!C23),"{NOM}",Inscriptions!B23),"{PRESTATION}",E29),IF(AND(Inscriptions!S23&lt;&gt;"",Inscriptions!S23&gt;0),SUBSTITUTE(SUBSTITUTE(SUBSTITUTE(SUBSTITUTE(C4,"{MONTANT}",TEXT(Inscriptions!N23,"#,##0")&amp;" MRU"),"{PRENOM}",Inscriptions!C23),"{NOM}",Inscriptions!B23),"{RETARD}",TEXT(Inscriptions!S23,"0")),SUBSTITUTE(SUBSTITUTE(SUBSTITUTE(SUBSTITUTE(SUBSTITUTE(C3,"{MONTANT}",TEXT(Inscriptions!N23,"#,##0")&amp;" MRU"),"{PRENOM}",Inscriptions!C23),"{NOM}",Inscriptions!B23),"{PRESTATION}",E29),"{DATE_LIMITE}",IF(Inscriptions!R23="","non définie",TEXT(Inscriptions!R23,"DD/MM/YYYY"))))))</f>
        <v/>
      </c>
    </row>
    <row r="30" spans="1:10">
      <c r="A30" s="28">
        <f>IF(Inscriptions!B24="","",Inscriptions!A24)</f>
        <v>22</v>
      </c>
      <c r="B30" s="28" t="str">
        <f>IF(Inscriptions!B24="","",Inscriptions!B24)</f>
        <v>KERKOUB</v>
      </c>
      <c r="C30" s="28" t="str">
        <f>IF(Inscriptions!B24="","",Inscriptions!C24)</f>
        <v>Nenime</v>
      </c>
      <c r="D30" s="28" t="str">
        <f>IF(Inscriptions!B24="","",Inscriptions!G24)</f>
        <v>+222 47 45 20 20</v>
      </c>
      <c r="E30" s="28" t="str">
        <f>IF(Inscriptions!B24="","",IF(AND(Inscriptions!I24="Oui",Inscriptions!J24="Oui"),"Football + Loisirs",IF(Inscriptions!I24="Oui","Football",IF(Inscriptions!J24="Oui","Centre Loisirs",""))))</f>
        <v>Football</v>
      </c>
      <c r="F30" s="28">
        <f>IF(Inscriptions!B24="","",Inscriptions!N24)</f>
        <v>2000</v>
      </c>
      <c r="G30" s="28" t="str">
        <f>IF(Inscriptions!B24="","",Inscriptions!O24)</f>
        <v>Payé</v>
      </c>
      <c r="H30" s="28" t="str">
        <f ca="1">IF(Inscriptions!B24="","",IF(Inscriptions!S24="","—",Inscriptions!S24&amp;" j"))</f>
        <v>—</v>
      </c>
      <c r="I30" s="28" t="str">
        <f>IF(Inscriptions!B24="","",IF(Inscriptions!O24="Payé","✅ Confirmation",IF(AND(Inscriptions!S24&lt;&gt;"",Inscriptions!S24&gt;0),"🔴 Retard","🟡 Rappel")))</f>
        <v>✅ Confirmation</v>
      </c>
      <c r="J30" s="29" t="str">
        <f>IF(Inscriptions!B24="","",IF(Inscriptions!O24="Payé",SUBSTITUTE(SUBSTITUTE(SUBSTITUTE(SUBSTITUTE(C5,"{MONTANT}",TEXT(Inscriptions!N24,"#,##0")&amp;" MRU"),"{PRENOM}",Inscriptions!C24),"{NOM}",Inscriptions!B24),"{PRESTATION}",E30),IF(AND(Inscriptions!S24&lt;&gt;"",Inscriptions!S24&gt;0),SUBSTITUTE(SUBSTITUTE(SUBSTITUTE(SUBSTITUTE(C4,"{MONTANT}",TEXT(Inscriptions!N24,"#,##0")&amp;" MRU"),"{PRENOM}",Inscriptions!C24),"{NOM}",Inscriptions!B24),"{RETARD}",TEXT(Inscriptions!S24,"0")),SUBSTITUTE(SUBSTITUTE(SUBSTITUTE(SUBSTITUTE(SUBSTITUTE(C3,"{MONTANT}",TEXT(Inscriptions!N24,"#,##0")&amp;" MRU"),"{PRENOM}",Inscriptions!C24),"{NOM}",Inscriptions!B24),"{PRESTATION}",E30),"{DATE_LIMITE}",IF(Inscriptions!R24="","non définie",TEXT(Inscriptions!R24,"DD/MM/YYYY"))))))</f>
        <v>✅ Bonjour, la Fiveur Academy confirme la réception du paiement de 2000,0 MRU pour Nenime KERKOUB. Inscription validée pour : Football. Merci de votre confiance ! ⚽ Fiveur Academy — Since 2023.</v>
      </c>
    </row>
    <row r="31" spans="1:10">
      <c r="A31" s="26">
        <f>IF(Inscriptions!B25="","",Inscriptions!A25)</f>
        <v>23</v>
      </c>
      <c r="B31" s="26" t="str">
        <f>IF(Inscriptions!B25="","",Inscriptions!B25)</f>
        <v>DIAGANA</v>
      </c>
      <c r="C31" s="26" t="str">
        <f>IF(Inscriptions!B25="","",Inscriptions!C25)</f>
        <v>Bocar</v>
      </c>
      <c r="D31" s="26" t="str">
        <f>IF(Inscriptions!B25="","",Inscriptions!G25)</f>
        <v>+222 47 47 77 77</v>
      </c>
      <c r="E31" s="26" t="str">
        <f>IF(Inscriptions!B25="","",IF(AND(Inscriptions!I25="Oui",Inscriptions!J25="Oui"),"Football + Loisirs",IF(Inscriptions!I25="Oui","Football",IF(Inscriptions!J25="Oui","Centre Loisirs",""))))</f>
        <v>Football</v>
      </c>
      <c r="F31" s="26">
        <f>IF(Inscriptions!B25="","",Inscriptions!N25)</f>
        <v>2000</v>
      </c>
      <c r="G31" s="26" t="str">
        <f>IF(Inscriptions!B25="","",Inscriptions!O25)</f>
        <v>Payé</v>
      </c>
      <c r="H31" s="26" t="str">
        <f ca="1">IF(Inscriptions!B25="","",IF(Inscriptions!S25="","—",Inscriptions!S25&amp;" j"))</f>
        <v>—</v>
      </c>
      <c r="I31" s="26" t="str">
        <f>IF(Inscriptions!B25="","",IF(Inscriptions!O25="Payé","✅ Confirmation",IF(AND(Inscriptions!S25&lt;&gt;"",Inscriptions!S25&gt;0),"🔴 Retard","🟡 Rappel")))</f>
        <v>✅ Confirmation</v>
      </c>
      <c r="J31" s="27" t="str">
        <f>IF(Inscriptions!B25="","",IF(Inscriptions!O25="Payé",SUBSTITUTE(SUBSTITUTE(SUBSTITUTE(SUBSTITUTE(C5,"{MONTANT}",TEXT(Inscriptions!N25,"#,##0")&amp;" MRU"),"{PRENOM}",Inscriptions!C25),"{NOM}",Inscriptions!B25),"{PRESTATION}",E31),IF(AND(Inscriptions!S25&lt;&gt;"",Inscriptions!S25&gt;0),SUBSTITUTE(SUBSTITUTE(SUBSTITUTE(SUBSTITUTE(C4,"{MONTANT}",TEXT(Inscriptions!N25,"#,##0")&amp;" MRU"),"{PRENOM}",Inscriptions!C25),"{NOM}",Inscriptions!B25),"{RETARD}",TEXT(Inscriptions!S25,"0")),SUBSTITUTE(SUBSTITUTE(SUBSTITUTE(SUBSTITUTE(SUBSTITUTE(C3,"{MONTANT}",TEXT(Inscriptions!N25,"#,##0")&amp;" MRU"),"{PRENOM}",Inscriptions!C25),"{NOM}",Inscriptions!B25),"{PRESTATION}",E31),"{DATE_LIMITE}",IF(Inscriptions!R25="","non définie",TEXT(Inscriptions!R25,"DD/MM/YYYY"))))))</f>
        <v>✅ Bonjour, la Fiveur Academy confirme la réception du paiement de 2000,0 MRU pour Bocar DIAGANA. Inscription validée pour : Football. Merci de votre confiance ! ⚽ Fiveur Academy — Since 2023.</v>
      </c>
    </row>
    <row r="32" spans="1:10">
      <c r="A32" s="28">
        <f>IF(Inscriptions!B26="","",Inscriptions!A26)</f>
        <v>24</v>
      </c>
      <c r="B32" s="28" t="str">
        <f>IF(Inscriptions!B26="","",Inscriptions!B26)</f>
        <v xml:space="preserve">BA </v>
      </c>
      <c r="C32" s="28" t="str">
        <f>IF(Inscriptions!B26="","",Inscriptions!C26)</f>
        <v>Mohamed</v>
      </c>
      <c r="D32" s="28" t="str">
        <f>IF(Inscriptions!B26="","",Inscriptions!G26)</f>
        <v>+222 47 75 77 22</v>
      </c>
      <c r="E32" s="28" t="str">
        <f>IF(Inscriptions!B26="","",IF(AND(Inscriptions!I26="Oui",Inscriptions!J26="Oui"),"Football + Loisirs",IF(Inscriptions!I26="Oui","Football",IF(Inscriptions!J26="Oui","Centre Loisirs",""))))</f>
        <v>Football</v>
      </c>
      <c r="F32" s="28">
        <f>IF(Inscriptions!B26="","",Inscriptions!N26)</f>
        <v>2000</v>
      </c>
      <c r="G32" s="28" t="str">
        <f>IF(Inscriptions!B26="","",Inscriptions!O26)</f>
        <v>Payé</v>
      </c>
      <c r="H32" s="28" t="str">
        <f ca="1">IF(Inscriptions!B26="","",IF(Inscriptions!S26="","—",Inscriptions!S26&amp;" j"))</f>
        <v>—</v>
      </c>
      <c r="I32" s="28" t="str">
        <f>IF(Inscriptions!B26="","",IF(Inscriptions!O26="Payé","✅ Confirmation",IF(AND(Inscriptions!S26&lt;&gt;"",Inscriptions!S26&gt;0),"🔴 Retard","🟡 Rappel")))</f>
        <v>✅ Confirmation</v>
      </c>
      <c r="J32" s="29" t="str">
        <f>IF(Inscriptions!B26="","",IF(Inscriptions!O26="Payé",SUBSTITUTE(SUBSTITUTE(SUBSTITUTE(SUBSTITUTE(C5,"{MONTANT}",TEXT(Inscriptions!N26,"#,##0")&amp;" MRU"),"{PRENOM}",Inscriptions!C26),"{NOM}",Inscriptions!B26),"{PRESTATION}",E32),IF(AND(Inscriptions!S26&lt;&gt;"",Inscriptions!S26&gt;0),SUBSTITUTE(SUBSTITUTE(SUBSTITUTE(SUBSTITUTE(C4,"{MONTANT}",TEXT(Inscriptions!N26,"#,##0")&amp;" MRU"),"{PRENOM}",Inscriptions!C26),"{NOM}",Inscriptions!B26),"{RETARD}",TEXT(Inscriptions!S26,"0")),SUBSTITUTE(SUBSTITUTE(SUBSTITUTE(SUBSTITUTE(SUBSTITUTE(C3,"{MONTANT}",TEXT(Inscriptions!N26,"#,##0")&amp;" MRU"),"{PRENOM}",Inscriptions!C26),"{NOM}",Inscriptions!B26),"{PRESTATION}",E32),"{DATE_LIMITE}",IF(Inscriptions!R26="","non définie",TEXT(Inscriptions!R26,"DD/MM/YYYY"))))))</f>
        <v>✅ Bonjour, la Fiveur Academy confirme la réception du paiement de 2000,0 MRU pour Mohamed BA . Inscription validée pour : Football. Merci de votre confiance ! ⚽ Fiveur Academy — Since 2023.</v>
      </c>
    </row>
    <row r="33" spans="1:10">
      <c r="A33" s="26">
        <f>IF(Inscriptions!B27="","",Inscriptions!A27)</f>
        <v>25</v>
      </c>
      <c r="B33" s="26" t="str">
        <f>IF(Inscriptions!B27="","",Inscriptions!B27)</f>
        <v>BA</v>
      </c>
      <c r="C33" s="26" t="str">
        <f>IF(Inscriptions!B27="","",Inscriptions!C27)</f>
        <v>Amadou</v>
      </c>
      <c r="D33" s="26" t="str">
        <f>IF(Inscriptions!B27="","",Inscriptions!G27)</f>
        <v>+222 47 75 77 22</v>
      </c>
      <c r="E33" s="26" t="str">
        <f>IF(Inscriptions!B27="","",IF(AND(Inscriptions!I27="Oui",Inscriptions!J27="Oui"),"Football + Loisirs",IF(Inscriptions!I27="Oui","Football",IF(Inscriptions!J27="Oui","Centre Loisirs",""))))</f>
        <v>Football</v>
      </c>
      <c r="F33" s="26">
        <f>IF(Inscriptions!B27="","",Inscriptions!N27)</f>
        <v>2000</v>
      </c>
      <c r="G33" s="26" t="str">
        <f>IF(Inscriptions!B27="","",Inscriptions!O27)</f>
        <v>Payé</v>
      </c>
      <c r="H33" s="26" t="str">
        <f ca="1">IF(Inscriptions!B27="","",IF(Inscriptions!S27="","—",Inscriptions!S27&amp;" j"))</f>
        <v>—</v>
      </c>
      <c r="I33" s="26" t="str">
        <f>IF(Inscriptions!B27="","",IF(Inscriptions!O27="Payé","✅ Confirmation",IF(AND(Inscriptions!S27&lt;&gt;"",Inscriptions!S27&gt;0),"🔴 Retard","🟡 Rappel")))</f>
        <v>✅ Confirmation</v>
      </c>
      <c r="J33" s="27" t="str">
        <f>IF(Inscriptions!B27="","",IF(Inscriptions!O27="Payé",SUBSTITUTE(SUBSTITUTE(SUBSTITUTE(SUBSTITUTE(C5,"{MONTANT}",TEXT(Inscriptions!N27,"#,##0")&amp;" MRU"),"{PRENOM}",Inscriptions!C27),"{NOM}",Inscriptions!B27),"{PRESTATION}",E33),IF(AND(Inscriptions!S27&lt;&gt;"",Inscriptions!S27&gt;0),SUBSTITUTE(SUBSTITUTE(SUBSTITUTE(SUBSTITUTE(C4,"{MONTANT}",TEXT(Inscriptions!N27,"#,##0")&amp;" MRU"),"{PRENOM}",Inscriptions!C27),"{NOM}",Inscriptions!B27),"{RETARD}",TEXT(Inscriptions!S27,"0")),SUBSTITUTE(SUBSTITUTE(SUBSTITUTE(SUBSTITUTE(SUBSTITUTE(C3,"{MONTANT}",TEXT(Inscriptions!N27,"#,##0")&amp;" MRU"),"{PRENOM}",Inscriptions!C27),"{NOM}",Inscriptions!B27),"{PRESTATION}",E33),"{DATE_LIMITE}",IF(Inscriptions!R27="","non définie",TEXT(Inscriptions!R27,"DD/MM/YYYY"))))))</f>
        <v>✅ Bonjour, la Fiveur Academy confirme la réception du paiement de 2000,0 MRU pour Amadou BA. Inscription validée pour : Football. Merci de votre confiance ! ⚽ Fiveur Academy — Since 2023.</v>
      </c>
    </row>
    <row r="34" spans="1:10">
      <c r="A34" s="28">
        <f>IF(Inscriptions!B28="","",Inscriptions!A28)</f>
        <v>26</v>
      </c>
      <c r="B34" s="28" t="str">
        <f>IF(Inscriptions!B28="","",Inscriptions!B28)</f>
        <v>SIDI MAOULOUD</v>
      </c>
      <c r="C34" s="28" t="str">
        <f>IF(Inscriptions!B28="","",Inscriptions!C28)</f>
        <v>Abdallahi</v>
      </c>
      <c r="D34" s="28" t="str">
        <f>IF(Inscriptions!B28="","",Inscriptions!G28)</f>
        <v>+222 36 29 01 29</v>
      </c>
      <c r="E34" s="28" t="str">
        <f>IF(Inscriptions!B28="","",IF(AND(Inscriptions!I28="Oui",Inscriptions!J28="Oui"),"Football + Loisirs",IF(Inscriptions!I28="Oui","Football",IF(Inscriptions!J28="Oui","Centre Loisirs",""))))</f>
        <v>Football</v>
      </c>
      <c r="F34" s="28">
        <f>IF(Inscriptions!B28="","",Inscriptions!N28)</f>
        <v>2000</v>
      </c>
      <c r="G34" s="28" t="str">
        <f>IF(Inscriptions!B28="","",Inscriptions!O28)</f>
        <v>Payé</v>
      </c>
      <c r="H34" s="28" t="str">
        <f ca="1">IF(Inscriptions!B28="","",IF(Inscriptions!S28="","—",Inscriptions!S28&amp;" j"))</f>
        <v>—</v>
      </c>
      <c r="I34" s="28" t="str">
        <f>IF(Inscriptions!B28="","",IF(Inscriptions!O28="Payé","✅ Confirmation",IF(AND(Inscriptions!S28&lt;&gt;"",Inscriptions!S28&gt;0),"🔴 Retard","🟡 Rappel")))</f>
        <v>✅ Confirmation</v>
      </c>
      <c r="J34" s="29" t="str">
        <f>IF(Inscriptions!B28="","",IF(Inscriptions!O28="Payé",SUBSTITUTE(SUBSTITUTE(SUBSTITUTE(SUBSTITUTE(C5,"{MONTANT}",TEXT(Inscriptions!N28,"#,##0")&amp;" MRU"),"{PRENOM}",Inscriptions!C28),"{NOM}",Inscriptions!B28),"{PRESTATION}",E34),IF(AND(Inscriptions!S28&lt;&gt;"",Inscriptions!S28&gt;0),SUBSTITUTE(SUBSTITUTE(SUBSTITUTE(SUBSTITUTE(C4,"{MONTANT}",TEXT(Inscriptions!N28,"#,##0")&amp;" MRU"),"{PRENOM}",Inscriptions!C28),"{NOM}",Inscriptions!B28),"{RETARD}",TEXT(Inscriptions!S28,"0")),SUBSTITUTE(SUBSTITUTE(SUBSTITUTE(SUBSTITUTE(SUBSTITUTE(C3,"{MONTANT}",TEXT(Inscriptions!N28,"#,##0")&amp;" MRU"),"{PRENOM}",Inscriptions!C28),"{NOM}",Inscriptions!B28),"{PRESTATION}",E34),"{DATE_LIMITE}",IF(Inscriptions!R28="","non définie",TEXT(Inscriptions!R28,"DD/MM/YYYY"))))))</f>
        <v>✅ Bonjour, la Fiveur Academy confirme la réception du paiement de 2000,0 MRU pour Abdallahi SIDI MAOULOUD. Inscription validée pour : Football. Merci de votre confiance ! ⚽ Fiveur Academy — Since 2023.</v>
      </c>
    </row>
    <row r="35" spans="1:10">
      <c r="A35" s="26">
        <f>IF(Inscriptions!B29="","",Inscriptions!A29)</f>
        <v>27</v>
      </c>
      <c r="B35" s="26" t="str">
        <f>IF(Inscriptions!B29="","",Inscriptions!B29)</f>
        <v>SY</v>
      </c>
      <c r="C35" s="26" t="str">
        <f>IF(Inscriptions!B29="","",Inscriptions!C29)</f>
        <v>Boubacar</v>
      </c>
      <c r="D35" s="26" t="str">
        <f>IF(Inscriptions!B29="","",Inscriptions!G29)</f>
        <v>+222 44 24 22 34</v>
      </c>
      <c r="E35" s="26" t="str">
        <f>IF(Inscriptions!B29="","",IF(AND(Inscriptions!I29="Oui",Inscriptions!J29="Oui"),"Football + Loisirs",IF(Inscriptions!I29="Oui","Football",IF(Inscriptions!J29="Oui","Centre Loisirs",""))))</f>
        <v>Football</v>
      </c>
      <c r="F35" s="26">
        <f>IF(Inscriptions!B29="","",Inscriptions!N29)</f>
        <v>1000</v>
      </c>
      <c r="G35" s="26" t="str">
        <f>IF(Inscriptions!B29="","",Inscriptions!O29)</f>
        <v>Partiel</v>
      </c>
      <c r="H35" s="26" t="str">
        <f ca="1">IF(Inscriptions!B29="","",IF(Inscriptions!S29="","—",Inscriptions!S29&amp;" j"))</f>
        <v>—</v>
      </c>
      <c r="I35" s="26" t="str">
        <f ca="1">IF(Inscriptions!B29="","",IF(Inscriptions!O29="Payé","✅ Confirmation",IF(AND(Inscriptions!S29&lt;&gt;"",Inscriptions!S29&gt;0),"🔴 Retard","🟡 Rappel")))</f>
        <v>🟡 Rappel</v>
      </c>
      <c r="J35" s="27" t="str">
        <f ca="1">IF(Inscriptions!B29="","",IF(Inscriptions!O29="Payé",SUBSTITUTE(SUBSTITUTE(SUBSTITUTE(SUBSTITUTE(C5,"{MONTANT}",TEXT(Inscriptions!N29,"#,##0")&amp;" MRU"),"{PRENOM}",Inscriptions!C29),"{NOM}",Inscriptions!B29),"{PRESTATION}",E35),IF(AND(Inscriptions!S29&lt;&gt;"",Inscriptions!S29&gt;0),SUBSTITUTE(SUBSTITUTE(SUBSTITUTE(SUBSTITUTE(C4,"{MONTANT}",TEXT(Inscriptions!N29,"#,##0")&amp;" MRU"),"{PRENOM}",Inscriptions!C29),"{NOM}",Inscriptions!B29),"{RETARD}",TEXT(Inscriptions!S29,"0")),SUBSTITUTE(SUBSTITUTE(SUBSTITUTE(SUBSTITUTE(SUBSTITUTE(C3,"{MONTANT}",TEXT(Inscriptions!N29,"#,##0")&amp;" MRU"),"{PRENOM}",Inscriptions!C29),"{NOM}",Inscriptions!B29),"{PRESTATION}",E35),"{DATE_LIMITE}",IF(Inscriptions!R29="","non définie",TEXT(Inscriptions!R29,"DD/MM/YYYY"))))))</f>
        <v>Bonjour, ceci est un rappel de la Fiveur Academy. Le paiement de 1000,0 MRU pour l'inscription de Boubacar SY (Football) est en attente. Date limite : non définie. Merci de régulariser. Cordialement, Fiveur Academy.</v>
      </c>
    </row>
    <row r="36" spans="1:10">
      <c r="A36" s="28">
        <f>IF(Inscriptions!B30="","",Inscriptions!A30)</f>
        <v>28</v>
      </c>
      <c r="B36" s="28" t="str">
        <f>IF(Inscriptions!B30="","",Inscriptions!B30)</f>
        <v>KANOUTÉ</v>
      </c>
      <c r="C36" s="28" t="str">
        <f>IF(Inscriptions!B30="","",Inscriptions!C30)</f>
        <v>Mohamed</v>
      </c>
      <c r="D36" s="28">
        <f>IF(Inscriptions!B30="","",Inscriptions!G30)</f>
        <v>212658200457</v>
      </c>
      <c r="E36" s="28" t="str">
        <f>IF(Inscriptions!B30="","",IF(AND(Inscriptions!I30="Oui",Inscriptions!J30="Oui"),"Football + Loisirs",IF(Inscriptions!I30="Oui","Football",IF(Inscriptions!J30="Oui","Centre Loisirs",""))))</f>
        <v>Football</v>
      </c>
      <c r="F36" s="28">
        <f>IF(Inscriptions!B30="","",Inscriptions!N30)</f>
        <v>1000</v>
      </c>
      <c r="G36" s="28" t="str">
        <f>IF(Inscriptions!B30="","",Inscriptions!O30)</f>
        <v>Payé</v>
      </c>
      <c r="H36" s="28" t="str">
        <f ca="1">IF(Inscriptions!B30="","",IF(Inscriptions!S30="","—",Inscriptions!S30&amp;" j"))</f>
        <v>—</v>
      </c>
      <c r="I36" s="28" t="str">
        <f>IF(Inscriptions!B30="","",IF(Inscriptions!O30="Payé","✅ Confirmation",IF(AND(Inscriptions!S30&lt;&gt;"",Inscriptions!S30&gt;0),"🔴 Retard","🟡 Rappel")))</f>
        <v>✅ Confirmation</v>
      </c>
      <c r="J36" s="29" t="str">
        <f>IF(Inscriptions!B30="","",IF(Inscriptions!O30="Payé",SUBSTITUTE(SUBSTITUTE(SUBSTITUTE(SUBSTITUTE(C5,"{MONTANT}",TEXT(Inscriptions!N30,"#,##0")&amp;" MRU"),"{PRENOM}",Inscriptions!C30),"{NOM}",Inscriptions!B30),"{PRESTATION}",E36),IF(AND(Inscriptions!S30&lt;&gt;"",Inscriptions!S30&gt;0),SUBSTITUTE(SUBSTITUTE(SUBSTITUTE(SUBSTITUTE(C4,"{MONTANT}",TEXT(Inscriptions!N30,"#,##0")&amp;" MRU"),"{PRENOM}",Inscriptions!C30),"{NOM}",Inscriptions!B30),"{RETARD}",TEXT(Inscriptions!S30,"0")),SUBSTITUTE(SUBSTITUTE(SUBSTITUTE(SUBSTITUTE(SUBSTITUTE(C3,"{MONTANT}",TEXT(Inscriptions!N30,"#,##0")&amp;" MRU"),"{PRENOM}",Inscriptions!C30),"{NOM}",Inscriptions!B30),"{PRESTATION}",E36),"{DATE_LIMITE}",IF(Inscriptions!R30="","non définie",TEXT(Inscriptions!R30,"DD/MM/YYYY"))))))</f>
        <v>✅ Bonjour, la Fiveur Academy confirme la réception du paiement de 1000,0 MRU pour Mohamed KANOUTÉ. Inscription validée pour : Football. Merci de votre confiance ! ⚽ Fiveur Academy — Since 2023.</v>
      </c>
    </row>
    <row r="37" spans="1:10">
      <c r="A37" s="26">
        <f>IF(Inscriptions!B31="","",Inscriptions!A31)</f>
        <v>29</v>
      </c>
      <c r="B37" s="26" t="str">
        <f>IF(Inscriptions!B31="","",Inscriptions!B31)</f>
        <v>GUEYE</v>
      </c>
      <c r="C37" s="26" t="str">
        <f>IF(Inscriptions!B31="","",Inscriptions!C31)</f>
        <v>Moussa</v>
      </c>
      <c r="D37" s="26" t="str">
        <f>IF(Inscriptions!B31="","",Inscriptions!G31)</f>
        <v>+222 47 32 19 97</v>
      </c>
      <c r="E37" s="26" t="str">
        <f>IF(Inscriptions!B31="","",IF(AND(Inscriptions!I31="Oui",Inscriptions!J31="Oui"),"Football + Loisirs",IF(Inscriptions!I31="Oui","Football",IF(Inscriptions!J31="Oui","Centre Loisirs",""))))</f>
        <v>Football</v>
      </c>
      <c r="F37" s="26">
        <f>IF(Inscriptions!B31="","",Inscriptions!N31)</f>
        <v>2000</v>
      </c>
      <c r="G37" s="26" t="str">
        <f>IF(Inscriptions!B31="","",Inscriptions!O31)</f>
        <v>Partiel</v>
      </c>
      <c r="H37" s="26" t="str">
        <f ca="1">IF(Inscriptions!B31="","",IF(Inscriptions!S31="","—",Inscriptions!S31&amp;" j"))</f>
        <v>—</v>
      </c>
      <c r="I37" s="26" t="str">
        <f ca="1">IF(Inscriptions!B31="","",IF(Inscriptions!O31="Payé","✅ Confirmation",IF(AND(Inscriptions!S31&lt;&gt;"",Inscriptions!S31&gt;0),"🔴 Retard","🟡 Rappel")))</f>
        <v>🟡 Rappel</v>
      </c>
      <c r="J37" s="27" t="str">
        <f ca="1">IF(Inscriptions!B31="","",IF(Inscriptions!O31="Payé",SUBSTITUTE(SUBSTITUTE(SUBSTITUTE(SUBSTITUTE(C5,"{MONTANT}",TEXT(Inscriptions!N31,"#,##0")&amp;" MRU"),"{PRENOM}",Inscriptions!C31),"{NOM}",Inscriptions!B31),"{PRESTATION}",E37),IF(AND(Inscriptions!S31&lt;&gt;"",Inscriptions!S31&gt;0),SUBSTITUTE(SUBSTITUTE(SUBSTITUTE(SUBSTITUTE(C4,"{MONTANT}",TEXT(Inscriptions!N31,"#,##0")&amp;" MRU"),"{PRENOM}",Inscriptions!C31),"{NOM}",Inscriptions!B31),"{RETARD}",TEXT(Inscriptions!S31,"0")),SUBSTITUTE(SUBSTITUTE(SUBSTITUTE(SUBSTITUTE(SUBSTITUTE(C3,"{MONTANT}",TEXT(Inscriptions!N31,"#,##0")&amp;" MRU"),"{PRENOM}",Inscriptions!C31),"{NOM}",Inscriptions!B31),"{PRESTATION}",E37),"{DATE_LIMITE}",IF(Inscriptions!R31="","non définie",TEXT(Inscriptions!R31,"DD/MM/YYYY"))))))</f>
        <v>Bonjour, ceci est un rappel de la Fiveur Academy. Le paiement de 2000,0 MRU pour l'inscription de Moussa GUEYE (Football) est en attente. Date limite : non définie. Merci de régulariser. Cordialement, Fiveur Academy.</v>
      </c>
    </row>
    <row r="38" spans="1:10">
      <c r="A38" s="28">
        <f>IF(Inscriptions!B32="","",Inscriptions!A32)</f>
        <v>30</v>
      </c>
      <c r="B38" s="28" t="str">
        <f>IF(Inscriptions!B32="","",Inscriptions!B32)</f>
        <v>GUEYE</v>
      </c>
      <c r="C38" s="28" t="str">
        <f>IF(Inscriptions!B32="","",Inscriptions!C32)</f>
        <v>Mademba</v>
      </c>
      <c r="D38" s="28" t="str">
        <f>IF(Inscriptions!B32="","",Inscriptions!G32)</f>
        <v>+222 47 32 19 97</v>
      </c>
      <c r="E38" s="28" t="str">
        <f>IF(Inscriptions!B32="","",IF(AND(Inscriptions!I32="Oui",Inscriptions!J32="Oui"),"Football + Loisirs",IF(Inscriptions!I32="Oui","Football",IF(Inscriptions!J32="Oui","Centre Loisirs",""))))</f>
        <v>Football</v>
      </c>
      <c r="F38" s="28">
        <f>IF(Inscriptions!B32="","",Inscriptions!N32)</f>
        <v>1000</v>
      </c>
      <c r="G38" s="28" t="str">
        <f>IF(Inscriptions!B32="","",Inscriptions!O32)</f>
        <v>Partiel</v>
      </c>
      <c r="H38" s="28" t="str">
        <f ca="1">IF(Inscriptions!B32="","",IF(Inscriptions!S32="","—",Inscriptions!S32&amp;" j"))</f>
        <v>—</v>
      </c>
      <c r="I38" s="28" t="str">
        <f ca="1">IF(Inscriptions!B32="","",IF(Inscriptions!O32="Payé","✅ Confirmation",IF(AND(Inscriptions!S32&lt;&gt;"",Inscriptions!S32&gt;0),"🔴 Retard","🟡 Rappel")))</f>
        <v>🟡 Rappel</v>
      </c>
      <c r="J38" s="29" t="str">
        <f ca="1">IF(Inscriptions!B32="","",IF(Inscriptions!O32="Payé",SUBSTITUTE(SUBSTITUTE(SUBSTITUTE(SUBSTITUTE(C5,"{MONTANT}",TEXT(Inscriptions!N32,"#,##0")&amp;" MRU"),"{PRENOM}",Inscriptions!C32),"{NOM}",Inscriptions!B32),"{PRESTATION}",E38),IF(AND(Inscriptions!S32&lt;&gt;"",Inscriptions!S32&gt;0),SUBSTITUTE(SUBSTITUTE(SUBSTITUTE(SUBSTITUTE(C4,"{MONTANT}",TEXT(Inscriptions!N32,"#,##0")&amp;" MRU"),"{PRENOM}",Inscriptions!C32),"{NOM}",Inscriptions!B32),"{RETARD}",TEXT(Inscriptions!S32,"0")),SUBSTITUTE(SUBSTITUTE(SUBSTITUTE(SUBSTITUTE(SUBSTITUTE(C3,"{MONTANT}",TEXT(Inscriptions!N32,"#,##0")&amp;" MRU"),"{PRENOM}",Inscriptions!C32),"{NOM}",Inscriptions!B32),"{PRESTATION}",E38),"{DATE_LIMITE}",IF(Inscriptions!R32="","non définie",TEXT(Inscriptions!R32,"DD/MM/YYYY"))))))</f>
        <v>Bonjour, ceci est un rappel de la Fiveur Academy. Le paiement de 1000,0 MRU pour l'inscription de Mademba GUEYE (Football) est en attente. Date limite : non définie. Merci de régulariser. Cordialement, Fiveur Academy.</v>
      </c>
    </row>
    <row r="39" spans="1:10">
      <c r="A39" s="26">
        <f>IF(Inscriptions!B33="","",Inscriptions!A33)</f>
        <v>31</v>
      </c>
      <c r="B39" s="26" t="str">
        <f>IF(Inscriptions!B33="","",Inscriptions!B33)</f>
        <v>THIAM</v>
      </c>
      <c r="C39" s="26" t="str">
        <f>IF(Inscriptions!B33="","",Inscriptions!C33)</f>
        <v>Adama</v>
      </c>
      <c r="D39" s="26" t="str">
        <f>IF(Inscriptions!B33="","",Inscriptions!G33)</f>
        <v>+222 44 89 92 74</v>
      </c>
      <c r="E39" s="26" t="str">
        <f>IF(Inscriptions!B33="","",IF(AND(Inscriptions!I33="Oui",Inscriptions!J33="Oui"),"Football + Loisirs",IF(Inscriptions!I33="Oui","Football",IF(Inscriptions!J33="Oui","Centre Loisirs",""))))</f>
        <v>Football</v>
      </c>
      <c r="F39" s="26">
        <f>IF(Inscriptions!B33="","",Inscriptions!N33)</f>
        <v>2000</v>
      </c>
      <c r="G39" s="26" t="str">
        <f>IF(Inscriptions!B33="","",Inscriptions!O33)</f>
        <v>Payé</v>
      </c>
      <c r="H39" s="26" t="str">
        <f ca="1">IF(Inscriptions!B33="","",IF(Inscriptions!S33="","—",Inscriptions!S33&amp;" j"))</f>
        <v>—</v>
      </c>
      <c r="I39" s="26" t="str">
        <f>IF(Inscriptions!B33="","",IF(Inscriptions!O33="Payé","✅ Confirmation",IF(AND(Inscriptions!S33&lt;&gt;"",Inscriptions!S33&gt;0),"🔴 Retard","🟡 Rappel")))</f>
        <v>✅ Confirmation</v>
      </c>
      <c r="J39" s="27" t="str">
        <f>IF(Inscriptions!B33="","",IF(Inscriptions!O33="Payé",SUBSTITUTE(SUBSTITUTE(SUBSTITUTE(SUBSTITUTE(C5,"{MONTANT}",TEXT(Inscriptions!N33,"#,##0")&amp;" MRU"),"{PRENOM}",Inscriptions!C33),"{NOM}",Inscriptions!B33),"{PRESTATION}",E39),IF(AND(Inscriptions!S33&lt;&gt;"",Inscriptions!S33&gt;0),SUBSTITUTE(SUBSTITUTE(SUBSTITUTE(SUBSTITUTE(C4,"{MONTANT}",TEXT(Inscriptions!N33,"#,##0")&amp;" MRU"),"{PRENOM}",Inscriptions!C33),"{NOM}",Inscriptions!B33),"{RETARD}",TEXT(Inscriptions!S33,"0")),SUBSTITUTE(SUBSTITUTE(SUBSTITUTE(SUBSTITUTE(SUBSTITUTE(C3,"{MONTANT}",TEXT(Inscriptions!N33,"#,##0")&amp;" MRU"),"{PRENOM}",Inscriptions!C33),"{NOM}",Inscriptions!B33),"{PRESTATION}",E39),"{DATE_LIMITE}",IF(Inscriptions!R33="","non définie",TEXT(Inscriptions!R33,"DD/MM/YYYY"))))))</f>
        <v>✅ Bonjour, la Fiveur Academy confirme la réception du paiement de 2000,0 MRU pour Adama THIAM. Inscription validée pour : Football. Merci de votre confiance ! ⚽ Fiveur Academy — Since 2023.</v>
      </c>
    </row>
    <row r="40" spans="1:10">
      <c r="A40" s="28">
        <f>IF(Inscriptions!B34="","",Inscriptions!A34)</f>
        <v>32</v>
      </c>
      <c r="B40" s="28" t="str">
        <f>IF(Inscriptions!B34="","",Inscriptions!B34)</f>
        <v>TOURÉ</v>
      </c>
      <c r="C40" s="28" t="str">
        <f>IF(Inscriptions!B34="","",Inscriptions!C34)</f>
        <v>Mohamed</v>
      </c>
      <c r="D40" s="28" t="str">
        <f>IF(Inscriptions!B34="","",Inscriptions!G34)</f>
        <v>+222 46 85 01 86</v>
      </c>
      <c r="E40" s="28" t="str">
        <f>IF(Inscriptions!B34="","",IF(AND(Inscriptions!I34="Oui",Inscriptions!J34="Oui"),"Football + Loisirs",IF(Inscriptions!I34="Oui","Football",IF(Inscriptions!J34="Oui","Centre Loisirs",""))))</f>
        <v>Football</v>
      </c>
      <c r="F40" s="28">
        <f>IF(Inscriptions!B34="","",Inscriptions!N34)</f>
        <v>1000</v>
      </c>
      <c r="G40" s="28" t="str">
        <f>IF(Inscriptions!B34="","",Inscriptions!O34)</f>
        <v>Partiel</v>
      </c>
      <c r="H40" s="28" t="str">
        <f ca="1">IF(Inscriptions!B34="","",IF(Inscriptions!S34="","—",Inscriptions!S34&amp;" j"))</f>
        <v>—</v>
      </c>
      <c r="I40" s="28" t="str">
        <f ca="1">IF(Inscriptions!B34="","",IF(Inscriptions!O34="Payé","✅ Confirmation",IF(AND(Inscriptions!S34&lt;&gt;"",Inscriptions!S34&gt;0),"🔴 Retard","🟡 Rappel")))</f>
        <v>🟡 Rappel</v>
      </c>
      <c r="J40" s="29" t="str">
        <f ca="1">IF(Inscriptions!B34="","",IF(Inscriptions!O34="Payé",SUBSTITUTE(SUBSTITUTE(SUBSTITUTE(SUBSTITUTE(C5,"{MONTANT}",TEXT(Inscriptions!N34,"#,##0")&amp;" MRU"),"{PRENOM}",Inscriptions!C34),"{NOM}",Inscriptions!B34),"{PRESTATION}",E40),IF(AND(Inscriptions!S34&lt;&gt;"",Inscriptions!S34&gt;0),SUBSTITUTE(SUBSTITUTE(SUBSTITUTE(SUBSTITUTE(C4,"{MONTANT}",TEXT(Inscriptions!N34,"#,##0")&amp;" MRU"),"{PRENOM}",Inscriptions!C34),"{NOM}",Inscriptions!B34),"{RETARD}",TEXT(Inscriptions!S34,"0")),SUBSTITUTE(SUBSTITUTE(SUBSTITUTE(SUBSTITUTE(SUBSTITUTE(C3,"{MONTANT}",TEXT(Inscriptions!N34,"#,##0")&amp;" MRU"),"{PRENOM}",Inscriptions!C34),"{NOM}",Inscriptions!B34),"{PRESTATION}",E40),"{DATE_LIMITE}",IF(Inscriptions!R34="","non définie",TEXT(Inscriptions!R34,"DD/MM/YYYY"))))))</f>
        <v>Bonjour, ceci est un rappel de la Fiveur Academy. Le paiement de 1000,0 MRU pour l'inscription de Mohamed TOURÉ (Football) est en attente. Date limite : non définie. Merci de régulariser. Cordialement, Fiveur Academy.</v>
      </c>
    </row>
    <row r="41" spans="1:10">
      <c r="A41" s="26">
        <f>IF(Inscriptions!B35="","",Inscriptions!A35)</f>
        <v>33</v>
      </c>
      <c r="B41" s="26" t="str">
        <f>IF(Inscriptions!B35="","",Inscriptions!B35)</f>
        <v>TOURÉ</v>
      </c>
      <c r="C41" s="26" t="str">
        <f>IF(Inscriptions!B35="","",Inscriptions!C35)</f>
        <v>Ciré</v>
      </c>
      <c r="D41" s="26" t="str">
        <f>IF(Inscriptions!B35="","",Inscriptions!G35)</f>
        <v>+222 46 85 01 86</v>
      </c>
      <c r="E41" s="26" t="str">
        <f>IF(Inscriptions!B35="","",IF(AND(Inscriptions!I35="Oui",Inscriptions!J35="Oui"),"Football + Loisirs",IF(Inscriptions!I35="Oui","Football",IF(Inscriptions!J35="Oui","Centre Loisirs",""))))</f>
        <v>Football</v>
      </c>
      <c r="F41" s="26">
        <f>IF(Inscriptions!B35="","",Inscriptions!N35)</f>
        <v>1000</v>
      </c>
      <c r="G41" s="26" t="str">
        <f>IF(Inscriptions!B35="","",Inscriptions!O35)</f>
        <v>Partiel</v>
      </c>
      <c r="H41" s="26" t="str">
        <f ca="1">IF(Inscriptions!B35="","",IF(Inscriptions!S35="","—",Inscriptions!S35&amp;" j"))</f>
        <v>—</v>
      </c>
      <c r="I41" s="26" t="str">
        <f ca="1">IF(Inscriptions!B35="","",IF(Inscriptions!O35="Payé","✅ Confirmation",IF(AND(Inscriptions!S35&lt;&gt;"",Inscriptions!S35&gt;0),"🔴 Retard","🟡 Rappel")))</f>
        <v>🟡 Rappel</v>
      </c>
      <c r="J41" s="27" t="str">
        <f ca="1">IF(Inscriptions!B35="","",IF(Inscriptions!O35="Payé",SUBSTITUTE(SUBSTITUTE(SUBSTITUTE(SUBSTITUTE(C5,"{MONTANT}",TEXT(Inscriptions!N35,"#,##0")&amp;" MRU"),"{PRENOM}",Inscriptions!C35),"{NOM}",Inscriptions!B35),"{PRESTATION}",E41),IF(AND(Inscriptions!S35&lt;&gt;"",Inscriptions!S35&gt;0),SUBSTITUTE(SUBSTITUTE(SUBSTITUTE(SUBSTITUTE(C4,"{MONTANT}",TEXT(Inscriptions!N35,"#,##0")&amp;" MRU"),"{PRENOM}",Inscriptions!C35),"{NOM}",Inscriptions!B35),"{RETARD}",TEXT(Inscriptions!S35,"0")),SUBSTITUTE(SUBSTITUTE(SUBSTITUTE(SUBSTITUTE(SUBSTITUTE(C3,"{MONTANT}",TEXT(Inscriptions!N35,"#,##0")&amp;" MRU"),"{PRENOM}",Inscriptions!C35),"{NOM}",Inscriptions!B35),"{PRESTATION}",E41),"{DATE_LIMITE}",IF(Inscriptions!R35="","non définie",TEXT(Inscriptions!R35,"DD/MM/YYYY"))))))</f>
        <v>Bonjour, ceci est un rappel de la Fiveur Academy. Le paiement de 1000,0 MRU pour l'inscription de Ciré TOURÉ (Football) est en attente. Date limite : non définie. Merci de régulariser. Cordialement, Fiveur Academy.</v>
      </c>
    </row>
    <row r="42" spans="1:10">
      <c r="A42" s="28">
        <f>IF(Inscriptions!B36="","",Inscriptions!A36)</f>
        <v>34</v>
      </c>
      <c r="B42" s="28" t="str">
        <f>IF(Inscriptions!B36="","",Inscriptions!B36)</f>
        <v>SIDIBÉ</v>
      </c>
      <c r="C42" s="28" t="str">
        <f>IF(Inscriptions!B36="","",Inscriptions!C36)</f>
        <v>Amatullah</v>
      </c>
      <c r="D42" s="28" t="str">
        <f>IF(Inscriptions!B36="","",Inscriptions!G36)</f>
        <v>‪+33 6 58 40 25 02‬</v>
      </c>
      <c r="E42" s="28" t="str">
        <f>IF(Inscriptions!B36="","",IF(AND(Inscriptions!I36="Oui",Inscriptions!J36="Oui"),"Football + Loisirs",IF(Inscriptions!I36="Oui","Football",IF(Inscriptions!J36="Oui","Centre Loisirs",""))))</f>
        <v>Football</v>
      </c>
      <c r="F42" s="28">
        <f>IF(Inscriptions!B36="","",Inscriptions!N36)</f>
        <v>1750</v>
      </c>
      <c r="G42" s="28" t="str">
        <f>IF(Inscriptions!B36="","",Inscriptions!O36)</f>
        <v>Payé</v>
      </c>
      <c r="H42" s="28" t="str">
        <f ca="1">IF(Inscriptions!B36="","",IF(Inscriptions!S36="","—",Inscriptions!S36&amp;" j"))</f>
        <v>—</v>
      </c>
      <c r="I42" s="28" t="str">
        <f>IF(Inscriptions!B36="","",IF(Inscriptions!O36="Payé","✅ Confirmation",IF(AND(Inscriptions!S36&lt;&gt;"",Inscriptions!S36&gt;0),"🔴 Retard","🟡 Rappel")))</f>
        <v>✅ Confirmation</v>
      </c>
      <c r="J42" s="29" t="str">
        <f>IF(Inscriptions!B36="","",IF(Inscriptions!O36="Payé",SUBSTITUTE(SUBSTITUTE(SUBSTITUTE(SUBSTITUTE(C5,"{MONTANT}",TEXT(Inscriptions!N36,"#,##0")&amp;" MRU"),"{PRENOM}",Inscriptions!C36),"{NOM}",Inscriptions!B36),"{PRESTATION}",E42),IF(AND(Inscriptions!S36&lt;&gt;"",Inscriptions!S36&gt;0),SUBSTITUTE(SUBSTITUTE(SUBSTITUTE(SUBSTITUTE(C4,"{MONTANT}",TEXT(Inscriptions!N36,"#,##0")&amp;" MRU"),"{PRENOM}",Inscriptions!C36),"{NOM}",Inscriptions!B36),"{RETARD}",TEXT(Inscriptions!S36,"0")),SUBSTITUTE(SUBSTITUTE(SUBSTITUTE(SUBSTITUTE(SUBSTITUTE(C3,"{MONTANT}",TEXT(Inscriptions!N36,"#,##0")&amp;" MRU"),"{PRENOM}",Inscriptions!C36),"{NOM}",Inscriptions!B36),"{PRESTATION}",E42),"{DATE_LIMITE}",IF(Inscriptions!R36="","non définie",TEXT(Inscriptions!R36,"DD/MM/YYYY"))))))</f>
        <v>✅ Bonjour, la Fiveur Academy confirme la réception du paiement de 1750,0 MRU pour Amatullah SIDIBÉ. Inscription validée pour : Football. Merci de votre confiance ! ⚽ Fiveur Academy — Since 2023.</v>
      </c>
    </row>
    <row r="43" spans="1:10">
      <c r="A43" s="26">
        <f>IF(Inscriptions!B37="","",Inscriptions!A37)</f>
        <v>35</v>
      </c>
      <c r="B43" s="26" t="str">
        <f>IF(Inscriptions!B37="","",Inscriptions!B37)</f>
        <v>SIDIBÉ</v>
      </c>
      <c r="C43" s="26" t="str">
        <f>IF(Inscriptions!B37="","",Inscriptions!C37)</f>
        <v>Soukaïna</v>
      </c>
      <c r="D43" s="26" t="str">
        <f>IF(Inscriptions!B37="","",Inscriptions!G37)</f>
        <v>‪+33 6 58 40 25 02‬</v>
      </c>
      <c r="E43" s="26" t="str">
        <f>IF(Inscriptions!B37="","",IF(AND(Inscriptions!I37="Oui",Inscriptions!J37="Oui"),"Football + Loisirs",IF(Inscriptions!I37="Oui","Football",IF(Inscriptions!J37="Oui","Centre Loisirs",""))))</f>
        <v>Football</v>
      </c>
      <c r="F43" s="26">
        <f>IF(Inscriptions!B37="","",Inscriptions!N37)</f>
        <v>500</v>
      </c>
      <c r="G43" s="26" t="str">
        <f>IF(Inscriptions!B37="","",Inscriptions!O37)</f>
        <v>Payé</v>
      </c>
      <c r="H43" s="26" t="str">
        <f ca="1">IF(Inscriptions!B37="","",IF(Inscriptions!S37="","—",Inscriptions!S37&amp;" j"))</f>
        <v>—</v>
      </c>
      <c r="I43" s="26" t="str">
        <f>IF(Inscriptions!B37="","",IF(Inscriptions!O37="Payé","✅ Confirmation",IF(AND(Inscriptions!S37&lt;&gt;"",Inscriptions!S37&gt;0),"🔴 Retard","🟡 Rappel")))</f>
        <v>✅ Confirmation</v>
      </c>
      <c r="J43" s="27" t="str">
        <f>IF(Inscriptions!B37="","",IF(Inscriptions!O37="Payé",SUBSTITUTE(SUBSTITUTE(SUBSTITUTE(SUBSTITUTE(C5,"{MONTANT}",TEXT(Inscriptions!N37,"#,##0")&amp;" MRU"),"{PRENOM}",Inscriptions!C37),"{NOM}",Inscriptions!B37),"{PRESTATION}",E43),IF(AND(Inscriptions!S37&lt;&gt;"",Inscriptions!S37&gt;0),SUBSTITUTE(SUBSTITUTE(SUBSTITUTE(SUBSTITUTE(C4,"{MONTANT}",TEXT(Inscriptions!N37,"#,##0")&amp;" MRU"),"{PRENOM}",Inscriptions!C37),"{NOM}",Inscriptions!B37),"{RETARD}",TEXT(Inscriptions!S37,"0")),SUBSTITUTE(SUBSTITUTE(SUBSTITUTE(SUBSTITUTE(SUBSTITUTE(C3,"{MONTANT}",TEXT(Inscriptions!N37,"#,##0")&amp;" MRU"),"{PRENOM}",Inscriptions!C37),"{NOM}",Inscriptions!B37),"{PRESTATION}",E43),"{DATE_LIMITE}",IF(Inscriptions!R37="","non définie",TEXT(Inscriptions!R37,"DD/MM/YYYY"))))))</f>
        <v>✅ Bonjour, la Fiveur Academy confirme la réception du paiement de 500,0 MRU pour Soukaïna SIDIBÉ. Inscription validée pour : Football. Merci de votre confiance ! ⚽ Fiveur Academy — Since 2023.</v>
      </c>
    </row>
    <row r="44" spans="1:10">
      <c r="A44" s="28">
        <f>IF(Inscriptions!B38="","",Inscriptions!A38)</f>
        <v>36</v>
      </c>
      <c r="B44" s="28" t="str">
        <f>IF(Inscriptions!B38="","",Inscriptions!B38)</f>
        <v>BA</v>
      </c>
      <c r="C44" s="28" t="str">
        <f>IF(Inscriptions!B38="","",Inscriptions!C38)</f>
        <v>Mouhamed</v>
      </c>
      <c r="D44" s="28" t="str">
        <f>IF(Inscriptions!B38="","",Inscriptions!G38)</f>
        <v>+222 42 02 35 84</v>
      </c>
      <c r="E44" s="28" t="str">
        <f>IF(Inscriptions!B38="","",IF(AND(Inscriptions!I38="Oui",Inscriptions!J38="Oui"),"Football + Loisirs",IF(Inscriptions!I38="Oui","Football",IF(Inscriptions!J38="Oui","Centre Loisirs",""))))</f>
        <v>Football</v>
      </c>
      <c r="F44" s="28">
        <f>IF(Inscriptions!B38="","",Inscriptions!N38)</f>
        <v>2000</v>
      </c>
      <c r="G44" s="28" t="str">
        <f>IF(Inscriptions!B38="","",Inscriptions!O38)</f>
        <v>Payé</v>
      </c>
      <c r="H44" s="28" t="str">
        <f ca="1">IF(Inscriptions!B38="","",IF(Inscriptions!S38="","—",Inscriptions!S38&amp;" j"))</f>
        <v>—</v>
      </c>
      <c r="I44" s="28" t="str">
        <f>IF(Inscriptions!B38="","",IF(Inscriptions!O38="Payé","✅ Confirmation",IF(AND(Inscriptions!S38&lt;&gt;"",Inscriptions!S38&gt;0),"🔴 Retard","🟡 Rappel")))</f>
        <v>✅ Confirmation</v>
      </c>
      <c r="J44" s="29" t="str">
        <f>IF(Inscriptions!B38="","",IF(Inscriptions!O38="Payé",SUBSTITUTE(SUBSTITUTE(SUBSTITUTE(SUBSTITUTE(C5,"{MONTANT}",TEXT(Inscriptions!N38,"#,##0")&amp;" MRU"),"{PRENOM}",Inscriptions!C38),"{NOM}",Inscriptions!B38),"{PRESTATION}",E44),IF(AND(Inscriptions!S38&lt;&gt;"",Inscriptions!S38&gt;0),SUBSTITUTE(SUBSTITUTE(SUBSTITUTE(SUBSTITUTE(C4,"{MONTANT}",TEXT(Inscriptions!N38,"#,##0")&amp;" MRU"),"{PRENOM}",Inscriptions!C38),"{NOM}",Inscriptions!B38),"{RETARD}",TEXT(Inscriptions!S38,"0")),SUBSTITUTE(SUBSTITUTE(SUBSTITUTE(SUBSTITUTE(SUBSTITUTE(C3,"{MONTANT}",TEXT(Inscriptions!N38,"#,##0")&amp;" MRU"),"{PRENOM}",Inscriptions!C38),"{NOM}",Inscriptions!B38),"{PRESTATION}",E44),"{DATE_LIMITE}",IF(Inscriptions!R38="","non définie",TEXT(Inscriptions!R38,"DD/MM/YYYY"))))))</f>
        <v>✅ Bonjour, la Fiveur Academy confirme la réception du paiement de 2000,0 MRU pour Mouhamed BA. Inscription validée pour : Football. Merci de votre confiance ! ⚽ Fiveur Academy — Since 2023.</v>
      </c>
    </row>
    <row r="45" spans="1:10">
      <c r="A45" s="26">
        <f>IF(Inscriptions!B39="","",Inscriptions!A39)</f>
        <v>37</v>
      </c>
      <c r="B45" s="26" t="str">
        <f>IF(Inscriptions!B39="","",Inscriptions!B39)</f>
        <v>BA</v>
      </c>
      <c r="C45" s="26" t="str">
        <f>IF(Inscriptions!B39="","",Inscriptions!C39)</f>
        <v>Mamadou</v>
      </c>
      <c r="D45" s="26" t="str">
        <f>IF(Inscriptions!B39="","",Inscriptions!G39)</f>
        <v>+222 42 02 35 84</v>
      </c>
      <c r="E45" s="26" t="str">
        <f>IF(Inscriptions!B39="","",IF(AND(Inscriptions!I39="Oui",Inscriptions!J39="Oui"),"Football + Loisirs",IF(Inscriptions!I39="Oui","Football",IF(Inscriptions!J39="Oui","Centre Loisirs",""))))</f>
        <v>Football</v>
      </c>
      <c r="F45" s="26">
        <f>IF(Inscriptions!B39="","",Inscriptions!N39)</f>
        <v>2000</v>
      </c>
      <c r="G45" s="26" t="str">
        <f>IF(Inscriptions!B39="","",Inscriptions!O39)</f>
        <v>Payé</v>
      </c>
      <c r="H45" s="26" t="str">
        <f ca="1">IF(Inscriptions!B39="","",IF(Inscriptions!S39="","—",Inscriptions!S39&amp;" j"))</f>
        <v>—</v>
      </c>
      <c r="I45" s="26" t="str">
        <f>IF(Inscriptions!B39="","",IF(Inscriptions!O39="Payé","✅ Confirmation",IF(AND(Inscriptions!S39&lt;&gt;"",Inscriptions!S39&gt;0),"🔴 Retard","🟡 Rappel")))</f>
        <v>✅ Confirmation</v>
      </c>
      <c r="J45" s="27" t="str">
        <f>IF(Inscriptions!B39="","",IF(Inscriptions!O39="Payé",SUBSTITUTE(SUBSTITUTE(SUBSTITUTE(SUBSTITUTE(C5,"{MONTANT}",TEXT(Inscriptions!N39,"#,##0")&amp;" MRU"),"{PRENOM}",Inscriptions!C39),"{NOM}",Inscriptions!B39),"{PRESTATION}",E45),IF(AND(Inscriptions!S39&lt;&gt;"",Inscriptions!S39&gt;0),SUBSTITUTE(SUBSTITUTE(SUBSTITUTE(SUBSTITUTE(C4,"{MONTANT}",TEXT(Inscriptions!N39,"#,##0")&amp;" MRU"),"{PRENOM}",Inscriptions!C39),"{NOM}",Inscriptions!B39),"{RETARD}",TEXT(Inscriptions!S39,"0")),SUBSTITUTE(SUBSTITUTE(SUBSTITUTE(SUBSTITUTE(SUBSTITUTE(C3,"{MONTANT}",TEXT(Inscriptions!N39,"#,##0")&amp;" MRU"),"{PRENOM}",Inscriptions!C39),"{NOM}",Inscriptions!B39),"{PRESTATION}",E45),"{DATE_LIMITE}",IF(Inscriptions!R39="","non définie",TEXT(Inscriptions!R39,"DD/MM/YYYY"))))))</f>
        <v>✅ Bonjour, la Fiveur Academy confirme la réception du paiement de 2000,0 MRU pour Mamadou BA. Inscription validée pour : Football. Merci de votre confiance ! ⚽ Fiveur Academy — Since 2023.</v>
      </c>
    </row>
    <row r="46" spans="1:10">
      <c r="A46" s="28">
        <f>IF(Inscriptions!B40="","",Inscriptions!A40)</f>
        <v>38</v>
      </c>
      <c r="B46" s="28" t="str">
        <f>IF(Inscriptions!B40="","",Inscriptions!B40)</f>
        <v>SAMASSA</v>
      </c>
      <c r="C46" s="28" t="str">
        <f>IF(Inscriptions!B40="","",Inscriptions!C40)</f>
        <v>Abdrahmane</v>
      </c>
      <c r="D46" s="28" t="str">
        <f>IF(Inscriptions!B40="","",Inscriptions!G40)</f>
        <v>+222 26 31 86 93</v>
      </c>
      <c r="E46" s="28" t="str">
        <f>IF(Inscriptions!B40="","",IF(AND(Inscriptions!I40="Oui",Inscriptions!J40="Oui"),"Football + Loisirs",IF(Inscriptions!I40="Oui","Football",IF(Inscriptions!J40="Oui","Centre Loisirs",""))))</f>
        <v>Football</v>
      </c>
      <c r="F46" s="28">
        <f>IF(Inscriptions!B40="","",Inscriptions!N40)</f>
        <v>2000</v>
      </c>
      <c r="G46" s="28" t="str">
        <f>IF(Inscriptions!B40="","",Inscriptions!O40)</f>
        <v>Payé</v>
      </c>
      <c r="H46" s="28" t="str">
        <f ca="1">IF(Inscriptions!B40="","",IF(Inscriptions!S40="","—",Inscriptions!S40&amp;" j"))</f>
        <v>—</v>
      </c>
      <c r="I46" s="28" t="str">
        <f>IF(Inscriptions!B40="","",IF(Inscriptions!O40="Payé","✅ Confirmation",IF(AND(Inscriptions!S40&lt;&gt;"",Inscriptions!S40&gt;0),"🔴 Retard","🟡 Rappel")))</f>
        <v>✅ Confirmation</v>
      </c>
      <c r="J46" s="29" t="str">
        <f>IF(Inscriptions!B40="","",IF(Inscriptions!O40="Payé",SUBSTITUTE(SUBSTITUTE(SUBSTITUTE(SUBSTITUTE(C5,"{MONTANT}",TEXT(Inscriptions!N40,"#,##0")&amp;" MRU"),"{PRENOM}",Inscriptions!C40),"{NOM}",Inscriptions!B40),"{PRESTATION}",E46),IF(AND(Inscriptions!S40&lt;&gt;"",Inscriptions!S40&gt;0),SUBSTITUTE(SUBSTITUTE(SUBSTITUTE(SUBSTITUTE(C4,"{MONTANT}",TEXT(Inscriptions!N40,"#,##0")&amp;" MRU"),"{PRENOM}",Inscriptions!C40),"{NOM}",Inscriptions!B40),"{RETARD}",TEXT(Inscriptions!S40,"0")),SUBSTITUTE(SUBSTITUTE(SUBSTITUTE(SUBSTITUTE(SUBSTITUTE(C3,"{MONTANT}",TEXT(Inscriptions!N40,"#,##0")&amp;" MRU"),"{PRENOM}",Inscriptions!C40),"{NOM}",Inscriptions!B40),"{PRESTATION}",E46),"{DATE_LIMITE}",IF(Inscriptions!R40="","non définie",TEXT(Inscriptions!R40,"DD/MM/YYYY"))))))</f>
        <v>✅ Bonjour, la Fiveur Academy confirme la réception du paiement de 2000,0 MRU pour Abdrahmane SAMASSA. Inscription validée pour : Football. Merci de votre confiance ! ⚽ Fiveur Academy — Since 2023.</v>
      </c>
    </row>
    <row r="47" spans="1:10">
      <c r="A47" s="26">
        <f>IF(Inscriptions!B41="","",Inscriptions!A41)</f>
        <v>39</v>
      </c>
      <c r="B47" s="26" t="str">
        <f>IF(Inscriptions!B41="","",Inscriptions!B41)</f>
        <v>SAMASSA</v>
      </c>
      <c r="C47" s="26" t="str">
        <f>IF(Inscriptions!B41="","",Inscriptions!C41)</f>
        <v>Mohamed</v>
      </c>
      <c r="D47" s="26" t="str">
        <f>IF(Inscriptions!B41="","",Inscriptions!G41)</f>
        <v>+222 26 31 86 93</v>
      </c>
      <c r="E47" s="26" t="str">
        <f>IF(Inscriptions!B41="","",IF(AND(Inscriptions!I41="Oui",Inscriptions!J41="Oui"),"Football + Loisirs",IF(Inscriptions!I41="Oui","Football",IF(Inscriptions!J41="Oui","Centre Loisirs",""))))</f>
        <v>Football</v>
      </c>
      <c r="F47" s="26">
        <f>IF(Inscriptions!B41="","",Inscriptions!N41)</f>
        <v>2000</v>
      </c>
      <c r="G47" s="26" t="str">
        <f>IF(Inscriptions!B41="","",Inscriptions!O41)</f>
        <v>Payé</v>
      </c>
      <c r="H47" s="26" t="str">
        <f ca="1">IF(Inscriptions!B41="","",IF(Inscriptions!S41="","—",Inscriptions!S41&amp;" j"))</f>
        <v>—</v>
      </c>
      <c r="I47" s="26" t="str">
        <f>IF(Inscriptions!B41="","",IF(Inscriptions!O41="Payé","✅ Confirmation",IF(AND(Inscriptions!S41&lt;&gt;"",Inscriptions!S41&gt;0),"🔴 Retard","🟡 Rappel")))</f>
        <v>✅ Confirmation</v>
      </c>
      <c r="J47" s="27" t="str">
        <f>IF(Inscriptions!B41="","",IF(Inscriptions!O41="Payé",SUBSTITUTE(SUBSTITUTE(SUBSTITUTE(SUBSTITUTE(C5,"{MONTANT}",TEXT(Inscriptions!N41,"#,##0")&amp;" MRU"),"{PRENOM}",Inscriptions!C41),"{NOM}",Inscriptions!B41),"{PRESTATION}",E47),IF(AND(Inscriptions!S41&lt;&gt;"",Inscriptions!S41&gt;0),SUBSTITUTE(SUBSTITUTE(SUBSTITUTE(SUBSTITUTE(C4,"{MONTANT}",TEXT(Inscriptions!N41,"#,##0")&amp;" MRU"),"{PRENOM}",Inscriptions!C41),"{NOM}",Inscriptions!B41),"{RETARD}",TEXT(Inscriptions!S41,"0")),SUBSTITUTE(SUBSTITUTE(SUBSTITUTE(SUBSTITUTE(SUBSTITUTE(C3,"{MONTANT}",TEXT(Inscriptions!N41,"#,##0")&amp;" MRU"),"{PRENOM}",Inscriptions!C41),"{NOM}",Inscriptions!B41),"{PRESTATION}",E47),"{DATE_LIMITE}",IF(Inscriptions!R41="","non définie",TEXT(Inscriptions!R41,"DD/MM/YYYY"))))))</f>
        <v>✅ Bonjour, la Fiveur Academy confirme la réception du paiement de 2000,0 MRU pour Mohamed SAMASSA. Inscription validée pour : Football. Merci de votre confiance ! ⚽ Fiveur Academy — Since 2023.</v>
      </c>
    </row>
    <row r="48" spans="1:10">
      <c r="A48" s="28">
        <f>IF(Inscriptions!B42="","",Inscriptions!A42)</f>
        <v>40</v>
      </c>
      <c r="B48" s="28" t="str">
        <f>IF(Inscriptions!B42="","",Inscriptions!B42)</f>
        <v>HAMOUNY</v>
      </c>
      <c r="C48" s="28" t="str">
        <f>IF(Inscriptions!B42="","",Inscriptions!C42)</f>
        <v>Didi</v>
      </c>
      <c r="D48" s="28" t="str">
        <f>IF(Inscriptions!B42="","",Inscriptions!G42)</f>
        <v>+222 36 34 50 58</v>
      </c>
      <c r="E48" s="28" t="str">
        <f>IF(Inscriptions!B42="","",IF(AND(Inscriptions!I42="Oui",Inscriptions!J42="Oui"),"Football + Loisirs",IF(Inscriptions!I42="Oui","Football",IF(Inscriptions!J42="Oui","Centre Loisirs",""))))</f>
        <v>Football</v>
      </c>
      <c r="F48" s="28">
        <f>IF(Inscriptions!B42="","",Inscriptions!N42)</f>
        <v>2000</v>
      </c>
      <c r="G48" s="28" t="str">
        <f>IF(Inscriptions!B42="","",Inscriptions!O42)</f>
        <v>Payé</v>
      </c>
      <c r="H48" s="28" t="str">
        <f ca="1">IF(Inscriptions!B42="","",IF(Inscriptions!S42="","—",Inscriptions!S42&amp;" j"))</f>
        <v>—</v>
      </c>
      <c r="I48" s="28" t="str">
        <f>IF(Inscriptions!B42="","",IF(Inscriptions!O42="Payé","✅ Confirmation",IF(AND(Inscriptions!S42&lt;&gt;"",Inscriptions!S42&gt;0),"🔴 Retard","🟡 Rappel")))</f>
        <v>✅ Confirmation</v>
      </c>
      <c r="J48" s="29" t="str">
        <f>IF(Inscriptions!B42="","",IF(Inscriptions!O42="Payé",SUBSTITUTE(SUBSTITUTE(SUBSTITUTE(SUBSTITUTE(C5,"{MONTANT}",TEXT(Inscriptions!N42,"#,##0")&amp;" MRU"),"{PRENOM}",Inscriptions!C42),"{NOM}",Inscriptions!B42),"{PRESTATION}",E48),IF(AND(Inscriptions!S42&lt;&gt;"",Inscriptions!S42&gt;0),SUBSTITUTE(SUBSTITUTE(SUBSTITUTE(SUBSTITUTE(C4,"{MONTANT}",TEXT(Inscriptions!N42,"#,##0")&amp;" MRU"),"{PRENOM}",Inscriptions!C42),"{NOM}",Inscriptions!B42),"{RETARD}",TEXT(Inscriptions!S42,"0")),SUBSTITUTE(SUBSTITUTE(SUBSTITUTE(SUBSTITUTE(SUBSTITUTE(C3,"{MONTANT}",TEXT(Inscriptions!N42,"#,##0")&amp;" MRU"),"{PRENOM}",Inscriptions!C42),"{NOM}",Inscriptions!B42),"{PRESTATION}",E48),"{DATE_LIMITE}",IF(Inscriptions!R42="","non définie",TEXT(Inscriptions!R42,"DD/MM/YYYY"))))))</f>
        <v>✅ Bonjour, la Fiveur Academy confirme la réception du paiement de 2000,0 MRU pour Didi HAMOUNY. Inscription validée pour : Football. Merci de votre confiance ! ⚽ Fiveur Academy — Since 2023.</v>
      </c>
    </row>
    <row r="49" spans="1:10">
      <c r="A49" s="26">
        <f>IF(Inscriptions!B43="","",Inscriptions!A43)</f>
        <v>41</v>
      </c>
      <c r="B49" s="26" t="str">
        <f>IF(Inscriptions!B43="","",Inscriptions!B43)</f>
        <v>N'DIAYE</v>
      </c>
      <c r="C49" s="26" t="str">
        <f>IF(Inscriptions!B43="","",Inscriptions!C43)</f>
        <v>Hassan</v>
      </c>
      <c r="D49" s="26" t="str">
        <f>IF(Inscriptions!B43="","",Inscriptions!G43)</f>
        <v>+222 42 22 21 01</v>
      </c>
      <c r="E49" s="26" t="str">
        <f>IF(Inscriptions!B43="","",IF(AND(Inscriptions!I43="Oui",Inscriptions!J43="Oui"),"Football + Loisirs",IF(Inscriptions!I43="Oui","Football",IF(Inscriptions!J43="Oui","Centre Loisirs",""))))</f>
        <v>Football</v>
      </c>
      <c r="F49" s="26">
        <f>IF(Inscriptions!B43="","",Inscriptions!N43)</f>
        <v>1000</v>
      </c>
      <c r="G49" s="26" t="str">
        <f>IF(Inscriptions!B43="","",Inscriptions!O43)</f>
        <v>Partiel</v>
      </c>
      <c r="H49" s="26" t="str">
        <f ca="1">IF(Inscriptions!B43="","",IF(Inscriptions!S43="","—",Inscriptions!S43&amp;" j"))</f>
        <v>—</v>
      </c>
      <c r="I49" s="26" t="str">
        <f ca="1">IF(Inscriptions!B43="","",IF(Inscriptions!O43="Payé","✅ Confirmation",IF(AND(Inscriptions!S43&lt;&gt;"",Inscriptions!S43&gt;0),"🔴 Retard","🟡 Rappel")))</f>
        <v>🟡 Rappel</v>
      </c>
      <c r="J49" s="27" t="str">
        <f ca="1">IF(Inscriptions!B43="","",IF(Inscriptions!O43="Payé",SUBSTITUTE(SUBSTITUTE(SUBSTITUTE(SUBSTITUTE(C5,"{MONTANT}",TEXT(Inscriptions!N43,"#,##0")&amp;" MRU"),"{PRENOM}",Inscriptions!C43),"{NOM}",Inscriptions!B43),"{PRESTATION}",E49),IF(AND(Inscriptions!S43&lt;&gt;"",Inscriptions!S43&gt;0),SUBSTITUTE(SUBSTITUTE(SUBSTITUTE(SUBSTITUTE(C4,"{MONTANT}",TEXT(Inscriptions!N43,"#,##0")&amp;" MRU"),"{PRENOM}",Inscriptions!C43),"{NOM}",Inscriptions!B43),"{RETARD}",TEXT(Inscriptions!S43,"0")),SUBSTITUTE(SUBSTITUTE(SUBSTITUTE(SUBSTITUTE(SUBSTITUTE(C3,"{MONTANT}",TEXT(Inscriptions!N43,"#,##0")&amp;" MRU"),"{PRENOM}",Inscriptions!C43),"{NOM}",Inscriptions!B43),"{PRESTATION}",E49),"{DATE_LIMITE}",IF(Inscriptions!R43="","non définie",TEXT(Inscriptions!R43,"DD/MM/YYYY"))))))</f>
        <v>Bonjour, ceci est un rappel de la Fiveur Academy. Le paiement de 1000,0 MRU pour l'inscription de Hassan N'DIAYE (Football) est en attente. Date limite : non définie. Merci de régulariser. Cordialement, Fiveur Academy.</v>
      </c>
    </row>
    <row r="50" spans="1:10">
      <c r="A50" s="28">
        <f>IF(Inscriptions!B44="","",Inscriptions!A44)</f>
        <v>42</v>
      </c>
      <c r="B50" s="28" t="str">
        <f>IF(Inscriptions!B44="","",Inscriptions!B44)</f>
        <v>N'DIAYE</v>
      </c>
      <c r="C50" s="28" t="str">
        <f>IF(Inscriptions!B44="","",Inscriptions!C44)</f>
        <v xml:space="preserve">Houssein </v>
      </c>
      <c r="D50" s="28" t="str">
        <f>IF(Inscriptions!B44="","",Inscriptions!G44)</f>
        <v>+222 42 22 21 01</v>
      </c>
      <c r="E50" s="28" t="str">
        <f>IF(Inscriptions!B44="","",IF(AND(Inscriptions!I44="Oui",Inscriptions!J44="Oui"),"Football + Loisirs",IF(Inscriptions!I44="Oui","Football",IF(Inscriptions!J44="Oui","Centre Loisirs",""))))</f>
        <v>Football</v>
      </c>
      <c r="F50" s="28">
        <f>IF(Inscriptions!B44="","",Inscriptions!N44)</f>
        <v>1000</v>
      </c>
      <c r="G50" s="28" t="str">
        <f>IF(Inscriptions!B44="","",Inscriptions!O44)</f>
        <v>Partiel</v>
      </c>
      <c r="H50" s="28" t="str">
        <f ca="1">IF(Inscriptions!B44="","",IF(Inscriptions!S44="","—",Inscriptions!S44&amp;" j"))</f>
        <v>—</v>
      </c>
      <c r="I50" s="28" t="str">
        <f ca="1">IF(Inscriptions!B44="","",IF(Inscriptions!O44="Payé","✅ Confirmation",IF(AND(Inscriptions!S44&lt;&gt;"",Inscriptions!S44&gt;0),"🔴 Retard","🟡 Rappel")))</f>
        <v>🟡 Rappel</v>
      </c>
      <c r="J50" s="29" t="str">
        <f ca="1">IF(Inscriptions!B44="","",IF(Inscriptions!O44="Payé",SUBSTITUTE(SUBSTITUTE(SUBSTITUTE(SUBSTITUTE(C5,"{MONTANT}",TEXT(Inscriptions!N44,"#,##0")&amp;" MRU"),"{PRENOM}",Inscriptions!C44),"{NOM}",Inscriptions!B44),"{PRESTATION}",E50),IF(AND(Inscriptions!S44&lt;&gt;"",Inscriptions!S44&gt;0),SUBSTITUTE(SUBSTITUTE(SUBSTITUTE(SUBSTITUTE(C4,"{MONTANT}",TEXT(Inscriptions!N44,"#,##0")&amp;" MRU"),"{PRENOM}",Inscriptions!C44),"{NOM}",Inscriptions!B44),"{RETARD}",TEXT(Inscriptions!S44,"0")),SUBSTITUTE(SUBSTITUTE(SUBSTITUTE(SUBSTITUTE(SUBSTITUTE(C3,"{MONTANT}",TEXT(Inscriptions!N44,"#,##0")&amp;" MRU"),"{PRENOM}",Inscriptions!C44),"{NOM}",Inscriptions!B44),"{PRESTATION}",E50),"{DATE_LIMITE}",IF(Inscriptions!R44="","non définie",TEXT(Inscriptions!R44,"DD/MM/YYYY"))))))</f>
        <v>Bonjour, ceci est un rappel de la Fiveur Academy. Le paiement de 1000,0 MRU pour l'inscription de Houssein  N'DIAYE (Football) est en attente. Date limite : non définie. Merci de régulariser. Cordialement, Fiveur Academy.</v>
      </c>
    </row>
    <row r="51" spans="1:10">
      <c r="A51" s="26">
        <f>IF(Inscriptions!B45="","",Inscriptions!A45)</f>
        <v>43</v>
      </c>
      <c r="B51" s="26" t="str">
        <f>IF(Inscriptions!B45="","",Inscriptions!B45)</f>
        <v>SOUMARÉ</v>
      </c>
      <c r="C51" s="26" t="str">
        <f>IF(Inscriptions!B45="","",Inscriptions!C45)</f>
        <v>Djibrril</v>
      </c>
      <c r="D51" s="26" t="str">
        <f>IF(Inscriptions!B45="","",Inscriptions!G45)</f>
        <v>+222 46 41 92 91</v>
      </c>
      <c r="E51" s="26" t="str">
        <f>IF(Inscriptions!B45="","",IF(AND(Inscriptions!I45="Oui",Inscriptions!J45="Oui"),"Football + Loisirs",IF(Inscriptions!I45="Oui","Football",IF(Inscriptions!J45="Oui","Centre Loisirs",""))))</f>
        <v>Football</v>
      </c>
      <c r="F51" s="26">
        <f>IF(Inscriptions!B45="","",Inscriptions!N45)</f>
        <v>1000</v>
      </c>
      <c r="G51" s="26" t="str">
        <f>IF(Inscriptions!B45="","",Inscriptions!O45)</f>
        <v>Partiel</v>
      </c>
      <c r="H51" s="26" t="str">
        <f ca="1">IF(Inscriptions!B45="","",IF(Inscriptions!S45="","—",Inscriptions!S45&amp;" j"))</f>
        <v>—</v>
      </c>
      <c r="I51" s="26" t="str">
        <f ca="1">IF(Inscriptions!B45="","",IF(Inscriptions!O45="Payé","✅ Confirmation",IF(AND(Inscriptions!S45&lt;&gt;"",Inscriptions!S45&gt;0),"🔴 Retard","🟡 Rappel")))</f>
        <v>🟡 Rappel</v>
      </c>
      <c r="J51" s="27" t="str">
        <f ca="1">IF(Inscriptions!B45="","",IF(Inscriptions!O45="Payé",SUBSTITUTE(SUBSTITUTE(SUBSTITUTE(SUBSTITUTE(C5,"{MONTANT}",TEXT(Inscriptions!N45,"#,##0")&amp;" MRU"),"{PRENOM}",Inscriptions!C45),"{NOM}",Inscriptions!B45),"{PRESTATION}",E51),IF(AND(Inscriptions!S45&lt;&gt;"",Inscriptions!S45&gt;0),SUBSTITUTE(SUBSTITUTE(SUBSTITUTE(SUBSTITUTE(C4,"{MONTANT}",TEXT(Inscriptions!N45,"#,##0")&amp;" MRU"),"{PRENOM}",Inscriptions!C45),"{NOM}",Inscriptions!B45),"{RETARD}",TEXT(Inscriptions!S45,"0")),SUBSTITUTE(SUBSTITUTE(SUBSTITUTE(SUBSTITUTE(SUBSTITUTE(C3,"{MONTANT}",TEXT(Inscriptions!N45,"#,##0")&amp;" MRU"),"{PRENOM}",Inscriptions!C45),"{NOM}",Inscriptions!B45),"{PRESTATION}",E51),"{DATE_LIMITE}",IF(Inscriptions!R45="","non définie",TEXT(Inscriptions!R45,"DD/MM/YYYY"))))))</f>
        <v>Bonjour, ceci est un rappel de la Fiveur Academy. Le paiement de 1000,0 MRU pour l'inscription de Djibrril SOUMARÉ (Football) est en attente. Date limite : non définie. Merci de régulariser. Cordialement, Fiveur Academy.</v>
      </c>
    </row>
    <row r="52" spans="1:10">
      <c r="A52" s="28">
        <f>IF(Inscriptions!B46="","",Inscriptions!A46)</f>
        <v>44</v>
      </c>
      <c r="B52" s="28" t="str">
        <f>IF(Inscriptions!B46="","",Inscriptions!B46)</f>
        <v>BA</v>
      </c>
      <c r="C52" s="28" t="str">
        <f>IF(Inscriptions!B46="","",Inscriptions!C46)</f>
        <v>Oumar</v>
      </c>
      <c r="D52" s="28" t="str">
        <f>IF(Inscriptions!B46="","",Inscriptions!G46)</f>
        <v>+222 47 48 89 62</v>
      </c>
      <c r="E52" s="28" t="str">
        <f>IF(Inscriptions!B46="","",IF(AND(Inscriptions!I46="Oui",Inscriptions!J46="Oui"),"Football + Loisirs",IF(Inscriptions!I46="Oui","Football",IF(Inscriptions!J46="Oui","Centre Loisirs",""))))</f>
        <v>Football</v>
      </c>
      <c r="F52" s="28">
        <f>IF(Inscriptions!B46="","",Inscriptions!N46)</f>
        <v>1000</v>
      </c>
      <c r="G52" s="28" t="str">
        <f>IF(Inscriptions!B46="","",Inscriptions!O46)</f>
        <v>Partiel</v>
      </c>
      <c r="H52" s="28" t="str">
        <f ca="1">IF(Inscriptions!B46="","",IF(Inscriptions!S46="","—",Inscriptions!S46&amp;" j"))</f>
        <v>—</v>
      </c>
      <c r="I52" s="28" t="str">
        <f ca="1">IF(Inscriptions!B46="","",IF(Inscriptions!O46="Payé","✅ Confirmation",IF(AND(Inscriptions!S46&lt;&gt;"",Inscriptions!S46&gt;0),"🔴 Retard","🟡 Rappel")))</f>
        <v>🟡 Rappel</v>
      </c>
      <c r="J52" s="29" t="str">
        <f ca="1">IF(Inscriptions!B46="","",IF(Inscriptions!O46="Payé",SUBSTITUTE(SUBSTITUTE(SUBSTITUTE(SUBSTITUTE(C5,"{MONTANT}",TEXT(Inscriptions!N46,"#,##0")&amp;" MRU"),"{PRENOM}",Inscriptions!C46),"{NOM}",Inscriptions!B46),"{PRESTATION}",E52),IF(AND(Inscriptions!S46&lt;&gt;"",Inscriptions!S46&gt;0),SUBSTITUTE(SUBSTITUTE(SUBSTITUTE(SUBSTITUTE(C4,"{MONTANT}",TEXT(Inscriptions!N46,"#,##0")&amp;" MRU"),"{PRENOM}",Inscriptions!C46),"{NOM}",Inscriptions!B46),"{RETARD}",TEXT(Inscriptions!S46,"0")),SUBSTITUTE(SUBSTITUTE(SUBSTITUTE(SUBSTITUTE(SUBSTITUTE(C3,"{MONTANT}",TEXT(Inscriptions!N46,"#,##0")&amp;" MRU"),"{PRENOM}",Inscriptions!C46),"{NOM}",Inscriptions!B46),"{PRESTATION}",E52),"{DATE_LIMITE}",IF(Inscriptions!R46="","non définie",TEXT(Inscriptions!R46,"DD/MM/YYYY"))))))</f>
        <v>Bonjour, ceci est un rappel de la Fiveur Academy. Le paiement de 1000,0 MRU pour l'inscription de Oumar BA (Football) est en attente. Date limite : non définie. Merci de régulariser. Cordialement, Fiveur Academy.</v>
      </c>
    </row>
    <row r="53" spans="1:10">
      <c r="A53" s="26">
        <f>IF(Inscriptions!B47="","",Inscriptions!A47)</f>
        <v>45</v>
      </c>
      <c r="B53" s="26" t="str">
        <f>IF(Inscriptions!B47="","",Inscriptions!B47)</f>
        <v>FALL</v>
      </c>
      <c r="C53" s="26" t="str">
        <f>IF(Inscriptions!B47="","",Inscriptions!C47)</f>
        <v>Mohamedou</v>
      </c>
      <c r="D53" s="26" t="str">
        <f>IF(Inscriptions!B47="","",Inscriptions!G47)</f>
        <v>+222 46 41 34 90</v>
      </c>
      <c r="E53" s="26" t="str">
        <f>IF(Inscriptions!B47="","",IF(AND(Inscriptions!I47="Oui",Inscriptions!J47="Oui"),"Football + Loisirs",IF(Inscriptions!I47="Oui","Football",IF(Inscriptions!J47="Oui","Centre Loisirs",""))))</f>
        <v>Football</v>
      </c>
      <c r="F53" s="26">
        <f>IF(Inscriptions!B47="","",Inscriptions!N47)</f>
        <v>1000</v>
      </c>
      <c r="G53" s="26" t="str">
        <f>IF(Inscriptions!B47="","",Inscriptions!O47)</f>
        <v>Partiel</v>
      </c>
      <c r="H53" s="26" t="str">
        <f ca="1">IF(Inscriptions!B47="","",IF(Inscriptions!S47="","—",Inscriptions!S47&amp;" j"))</f>
        <v>—</v>
      </c>
      <c r="I53" s="26" t="str">
        <f ca="1">IF(Inscriptions!B47="","",IF(Inscriptions!O47="Payé","✅ Confirmation",IF(AND(Inscriptions!S47&lt;&gt;"",Inscriptions!S47&gt;0),"🔴 Retard","🟡 Rappel")))</f>
        <v>🟡 Rappel</v>
      </c>
      <c r="J53" s="27" t="str">
        <f ca="1">IF(Inscriptions!B47="","",IF(Inscriptions!O47="Payé",SUBSTITUTE(SUBSTITUTE(SUBSTITUTE(SUBSTITUTE(C5,"{MONTANT}",TEXT(Inscriptions!N47,"#,##0")&amp;" MRU"),"{PRENOM}",Inscriptions!C47),"{NOM}",Inscriptions!B47),"{PRESTATION}",E53),IF(AND(Inscriptions!S47&lt;&gt;"",Inscriptions!S47&gt;0),SUBSTITUTE(SUBSTITUTE(SUBSTITUTE(SUBSTITUTE(C4,"{MONTANT}",TEXT(Inscriptions!N47,"#,##0")&amp;" MRU"),"{PRENOM}",Inscriptions!C47),"{NOM}",Inscriptions!B47),"{RETARD}",TEXT(Inscriptions!S47,"0")),SUBSTITUTE(SUBSTITUTE(SUBSTITUTE(SUBSTITUTE(SUBSTITUTE(C3,"{MONTANT}",TEXT(Inscriptions!N47,"#,##0")&amp;" MRU"),"{PRENOM}",Inscriptions!C47),"{NOM}",Inscriptions!B47),"{PRESTATION}",E53),"{DATE_LIMITE}",IF(Inscriptions!R47="","non définie",TEXT(Inscriptions!R47,"DD/MM/YYYY"))))))</f>
        <v>Bonjour, ceci est un rappel de la Fiveur Academy. Le paiement de 1000,0 MRU pour l'inscription de Mohamedou FALL (Football) est en attente. Date limite : non définie. Merci de régulariser. Cordialement, Fiveur Academy.</v>
      </c>
    </row>
    <row r="54" spans="1:10">
      <c r="A54" s="28">
        <f>IF(Inscriptions!B48="","",Inscriptions!A48)</f>
        <v>46</v>
      </c>
      <c r="B54" s="28" t="str">
        <f>IF(Inscriptions!B48="","",Inscriptions!B48)</f>
        <v>SY</v>
      </c>
      <c r="C54" s="28" t="str">
        <f>IF(Inscriptions!B48="","",Inscriptions!C48)</f>
        <v>Cheikh Ibrahim</v>
      </c>
      <c r="D54" s="28" t="str">
        <f>IF(Inscriptions!B48="","",Inscriptions!G48)</f>
        <v>+222 41 76 49 96</v>
      </c>
      <c r="E54" s="28" t="str">
        <f>IF(Inscriptions!B48="","",IF(AND(Inscriptions!I48="Oui",Inscriptions!J48="Oui"),"Football + Loisirs",IF(Inscriptions!I48="Oui","Football",IF(Inscriptions!J48="Oui","Centre Loisirs",""))))</f>
        <v>Football</v>
      </c>
      <c r="F54" s="28">
        <f>IF(Inscriptions!B48="","",Inscriptions!N48)</f>
        <v>1000</v>
      </c>
      <c r="G54" s="28" t="str">
        <f>IF(Inscriptions!B48="","",Inscriptions!O48)</f>
        <v>Partiel</v>
      </c>
      <c r="H54" s="28" t="str">
        <f ca="1">IF(Inscriptions!B48="","",IF(Inscriptions!S48="","—",Inscriptions!S48&amp;" j"))</f>
        <v>—</v>
      </c>
      <c r="I54" s="28" t="str">
        <f ca="1">IF(Inscriptions!B48="","",IF(Inscriptions!O48="Payé","✅ Confirmation",IF(AND(Inscriptions!S48&lt;&gt;"",Inscriptions!S48&gt;0),"🔴 Retard","🟡 Rappel")))</f>
        <v>🟡 Rappel</v>
      </c>
      <c r="J54" s="29" t="str">
        <f ca="1">IF(Inscriptions!B48="","",IF(Inscriptions!O48="Payé",SUBSTITUTE(SUBSTITUTE(SUBSTITUTE(SUBSTITUTE(C5,"{MONTANT}",TEXT(Inscriptions!N48,"#,##0")&amp;" MRU"),"{PRENOM}",Inscriptions!C48),"{NOM}",Inscriptions!B48),"{PRESTATION}",E54),IF(AND(Inscriptions!S48&lt;&gt;"",Inscriptions!S48&gt;0),SUBSTITUTE(SUBSTITUTE(SUBSTITUTE(SUBSTITUTE(C4,"{MONTANT}",TEXT(Inscriptions!N48,"#,##0")&amp;" MRU"),"{PRENOM}",Inscriptions!C48),"{NOM}",Inscriptions!B48),"{RETARD}",TEXT(Inscriptions!S48,"0")),SUBSTITUTE(SUBSTITUTE(SUBSTITUTE(SUBSTITUTE(SUBSTITUTE(C3,"{MONTANT}",TEXT(Inscriptions!N48,"#,##0")&amp;" MRU"),"{PRENOM}",Inscriptions!C48),"{NOM}",Inscriptions!B48),"{PRESTATION}",E54),"{DATE_LIMITE}",IF(Inscriptions!R48="","non définie",TEXT(Inscriptions!R48,"DD/MM/YYYY"))))))</f>
        <v>Bonjour, ceci est un rappel de la Fiveur Academy. Le paiement de 1000,0 MRU pour l'inscription de Cheikh Ibrahim SY (Football) est en attente. Date limite : non définie. Merci de régulariser. Cordialement, Fiveur Academy.</v>
      </c>
    </row>
    <row r="55" spans="1:10">
      <c r="A55" s="26">
        <f>IF(Inscriptions!B49="","",Inscriptions!A49)</f>
        <v>47</v>
      </c>
      <c r="B55" s="26" t="str">
        <f>IF(Inscriptions!B49="","",Inscriptions!B49)</f>
        <v>DIAGANA</v>
      </c>
      <c r="C55" s="26" t="str">
        <f>IF(Inscriptions!B49="","",Inscriptions!C49)</f>
        <v>Mohamed</v>
      </c>
      <c r="D55" s="26" t="str">
        <f>IF(Inscriptions!B49="","",Inscriptions!G49)</f>
        <v>+222 46 47 39 00</v>
      </c>
      <c r="E55" s="26" t="str">
        <f>IF(Inscriptions!B49="","",IF(AND(Inscriptions!I49="Oui",Inscriptions!J49="Oui"),"Football + Loisirs",IF(Inscriptions!I49="Oui","Football",IF(Inscriptions!J49="Oui","Centre Loisirs",""))))</f>
        <v>Football</v>
      </c>
      <c r="F55" s="26">
        <f>IF(Inscriptions!B49="","",Inscriptions!N49)</f>
        <v>2000</v>
      </c>
      <c r="G55" s="26" t="str">
        <f>IF(Inscriptions!B49="","",Inscriptions!O49)</f>
        <v>Payé</v>
      </c>
      <c r="H55" s="26" t="str">
        <f ca="1">IF(Inscriptions!B49="","",IF(Inscriptions!S49="","—",Inscriptions!S49&amp;" j"))</f>
        <v>—</v>
      </c>
      <c r="I55" s="26" t="str">
        <f>IF(Inscriptions!B49="","",IF(Inscriptions!O49="Payé","✅ Confirmation",IF(AND(Inscriptions!S49&lt;&gt;"",Inscriptions!S49&gt;0),"🔴 Retard","🟡 Rappel")))</f>
        <v>✅ Confirmation</v>
      </c>
      <c r="J55" s="27" t="str">
        <f>IF(Inscriptions!B49="","",IF(Inscriptions!O49="Payé",SUBSTITUTE(SUBSTITUTE(SUBSTITUTE(SUBSTITUTE(C5,"{MONTANT}",TEXT(Inscriptions!N49,"#,##0")&amp;" MRU"),"{PRENOM}",Inscriptions!C49),"{NOM}",Inscriptions!B49),"{PRESTATION}",E55),IF(AND(Inscriptions!S49&lt;&gt;"",Inscriptions!S49&gt;0),SUBSTITUTE(SUBSTITUTE(SUBSTITUTE(SUBSTITUTE(C4,"{MONTANT}",TEXT(Inscriptions!N49,"#,##0")&amp;" MRU"),"{PRENOM}",Inscriptions!C49),"{NOM}",Inscriptions!B49),"{RETARD}",TEXT(Inscriptions!S49,"0")),SUBSTITUTE(SUBSTITUTE(SUBSTITUTE(SUBSTITUTE(SUBSTITUTE(C3,"{MONTANT}",TEXT(Inscriptions!N49,"#,##0")&amp;" MRU"),"{PRENOM}",Inscriptions!C49),"{NOM}",Inscriptions!B49),"{PRESTATION}",E55),"{DATE_LIMITE}",IF(Inscriptions!R49="","non définie",TEXT(Inscriptions!R49,"DD/MM/YYYY"))))))</f>
        <v>✅ Bonjour, la Fiveur Academy confirme la réception du paiement de 2000,0 MRU pour Mohamed DIAGANA. Inscription validée pour : Football. Merci de votre confiance ! ⚽ Fiveur Academy — Since 2023.</v>
      </c>
    </row>
    <row r="56" spans="1:10">
      <c r="A56" s="28">
        <f>IF(Inscriptions!B50="","",Inscriptions!A50)</f>
        <v>48</v>
      </c>
      <c r="B56" s="28" t="str">
        <f>IF(Inscriptions!B50="","",Inscriptions!B50)</f>
        <v>DIAGANA</v>
      </c>
      <c r="C56" s="28" t="str">
        <f>IF(Inscriptions!B50="","",Inscriptions!C50)</f>
        <v>Cheikhna</v>
      </c>
      <c r="D56" s="28" t="str">
        <f>IF(Inscriptions!B50="","",Inscriptions!G50)</f>
        <v>+222 46 47 39 00</v>
      </c>
      <c r="E56" s="28" t="str">
        <f>IF(Inscriptions!B50="","",IF(AND(Inscriptions!I50="Oui",Inscriptions!J50="Oui"),"Football + Loisirs",IF(Inscriptions!I50="Oui","Football",IF(Inscriptions!J50="Oui","Centre Loisirs",""))))</f>
        <v>Football</v>
      </c>
      <c r="F56" s="28">
        <f>IF(Inscriptions!B50="","",Inscriptions!N50)</f>
        <v>2000</v>
      </c>
      <c r="G56" s="28" t="str">
        <f>IF(Inscriptions!B50="","",Inscriptions!O50)</f>
        <v>Payé</v>
      </c>
      <c r="H56" s="28" t="str">
        <f ca="1">IF(Inscriptions!B50="","",IF(Inscriptions!S50="","—",Inscriptions!S50&amp;" j"))</f>
        <v>—</v>
      </c>
      <c r="I56" s="28" t="str">
        <f>IF(Inscriptions!B50="","",IF(Inscriptions!O50="Payé","✅ Confirmation",IF(AND(Inscriptions!S50&lt;&gt;"",Inscriptions!S50&gt;0),"🔴 Retard","🟡 Rappel")))</f>
        <v>✅ Confirmation</v>
      </c>
      <c r="J56" s="29" t="str">
        <f>IF(Inscriptions!B50="","",IF(Inscriptions!O50="Payé",SUBSTITUTE(SUBSTITUTE(SUBSTITUTE(SUBSTITUTE(C5,"{MONTANT}",TEXT(Inscriptions!N50,"#,##0")&amp;" MRU"),"{PRENOM}",Inscriptions!C50),"{NOM}",Inscriptions!B50),"{PRESTATION}",E56),IF(AND(Inscriptions!S50&lt;&gt;"",Inscriptions!S50&gt;0),SUBSTITUTE(SUBSTITUTE(SUBSTITUTE(SUBSTITUTE(C4,"{MONTANT}",TEXT(Inscriptions!N50,"#,##0")&amp;" MRU"),"{PRENOM}",Inscriptions!C50),"{NOM}",Inscriptions!B50),"{RETARD}",TEXT(Inscriptions!S50,"0")),SUBSTITUTE(SUBSTITUTE(SUBSTITUTE(SUBSTITUTE(SUBSTITUTE(C3,"{MONTANT}",TEXT(Inscriptions!N50,"#,##0")&amp;" MRU"),"{PRENOM}",Inscriptions!C50),"{NOM}",Inscriptions!B50),"{PRESTATION}",E56),"{DATE_LIMITE}",IF(Inscriptions!R50="","non définie",TEXT(Inscriptions!R50,"DD/MM/YYYY"))))))</f>
        <v>✅ Bonjour, la Fiveur Academy confirme la réception du paiement de 2000,0 MRU pour Cheikhna DIAGANA. Inscription validée pour : Football. Merci de votre confiance ! ⚽ Fiveur Academy — Since 2023.</v>
      </c>
    </row>
    <row r="57" spans="1:10">
      <c r="A57" s="26">
        <f>IF(Inscriptions!B51="","",Inscriptions!A51)</f>
        <v>49</v>
      </c>
      <c r="B57" s="26" t="str">
        <f>IF(Inscriptions!B51="","",Inscriptions!B51)</f>
        <v>JOUAMEH</v>
      </c>
      <c r="C57" s="26" t="str">
        <f>IF(Inscriptions!B51="","",Inscriptions!C51)</f>
        <v>Mouchtaba</v>
      </c>
      <c r="D57" s="26" t="str">
        <f>IF(Inscriptions!B51="","",Inscriptions!G51)</f>
        <v>+222 37 73 11 52</v>
      </c>
      <c r="E57" s="26" t="str">
        <f>IF(Inscriptions!B51="","",IF(AND(Inscriptions!I51="Oui",Inscriptions!J51="Oui"),"Football + Loisirs",IF(Inscriptions!I51="Oui","Football",IF(Inscriptions!J51="Oui","Centre Loisirs",""))))</f>
        <v>Football</v>
      </c>
      <c r="F57" s="26">
        <f>IF(Inscriptions!B51="","",Inscriptions!N51)</f>
        <v>2000</v>
      </c>
      <c r="G57" s="26" t="str">
        <f>IF(Inscriptions!B51="","",Inscriptions!O51)</f>
        <v>Payé</v>
      </c>
      <c r="H57" s="26" t="str">
        <f ca="1">IF(Inscriptions!B51="","",IF(Inscriptions!S51="","—",Inscriptions!S51&amp;" j"))</f>
        <v>—</v>
      </c>
      <c r="I57" s="26" t="str">
        <f>IF(Inscriptions!B51="","",IF(Inscriptions!O51="Payé","✅ Confirmation",IF(AND(Inscriptions!S51&lt;&gt;"",Inscriptions!S51&gt;0),"🔴 Retard","🟡 Rappel")))</f>
        <v>✅ Confirmation</v>
      </c>
      <c r="J57" s="27" t="str">
        <f>IF(Inscriptions!B51="","",IF(Inscriptions!O51="Payé",SUBSTITUTE(SUBSTITUTE(SUBSTITUTE(SUBSTITUTE(C5,"{MONTANT}",TEXT(Inscriptions!N51,"#,##0")&amp;" MRU"),"{PRENOM}",Inscriptions!C51),"{NOM}",Inscriptions!B51),"{PRESTATION}",E57),IF(AND(Inscriptions!S51&lt;&gt;"",Inscriptions!S51&gt;0),SUBSTITUTE(SUBSTITUTE(SUBSTITUTE(SUBSTITUTE(C4,"{MONTANT}",TEXT(Inscriptions!N51,"#,##0")&amp;" MRU"),"{PRENOM}",Inscriptions!C51),"{NOM}",Inscriptions!B51),"{RETARD}",TEXT(Inscriptions!S51,"0")),SUBSTITUTE(SUBSTITUTE(SUBSTITUTE(SUBSTITUTE(SUBSTITUTE(C3,"{MONTANT}",TEXT(Inscriptions!N51,"#,##0")&amp;" MRU"),"{PRENOM}",Inscriptions!C51),"{NOM}",Inscriptions!B51),"{PRESTATION}",E57),"{DATE_LIMITE}",IF(Inscriptions!R51="","non définie",TEXT(Inscriptions!R51,"DD/MM/YYYY"))))))</f>
        <v>✅ Bonjour, la Fiveur Academy confirme la réception du paiement de 2000,0 MRU pour Mouchtaba JOUAMEH. Inscription validée pour : Football. Merci de votre confiance ! ⚽ Fiveur Academy — Since 2023.</v>
      </c>
    </row>
    <row r="58" spans="1:10">
      <c r="A58" s="28">
        <f>IF(Inscriptions!B52="","",Inscriptions!A52)</f>
        <v>50</v>
      </c>
      <c r="B58" s="28" t="str">
        <f>IF(Inscriptions!B52="","",Inscriptions!B52)</f>
        <v>JOUAMEH</v>
      </c>
      <c r="C58" s="28" t="str">
        <f>IF(Inscriptions!B52="","",Inscriptions!C52)</f>
        <v>Khalid</v>
      </c>
      <c r="D58" s="28" t="str">
        <f>IF(Inscriptions!B52="","",Inscriptions!G52)</f>
        <v>+222 37 73 11 52</v>
      </c>
      <c r="E58" s="28" t="str">
        <f>IF(Inscriptions!B52="","",IF(AND(Inscriptions!I52="Oui",Inscriptions!J52="Oui"),"Football + Loisirs",IF(Inscriptions!I52="Oui","Football",IF(Inscriptions!J52="Oui","Centre Loisirs",""))))</f>
        <v>Football</v>
      </c>
      <c r="F58" s="28">
        <f>IF(Inscriptions!B52="","",Inscriptions!N52)</f>
        <v>2000</v>
      </c>
      <c r="G58" s="28" t="str">
        <f>IF(Inscriptions!B52="","",Inscriptions!O52)</f>
        <v>Payé</v>
      </c>
      <c r="H58" s="28" t="str">
        <f ca="1">IF(Inscriptions!B52="","",IF(Inscriptions!S52="","—",Inscriptions!S52&amp;" j"))</f>
        <v>—</v>
      </c>
      <c r="I58" s="28" t="str">
        <f>IF(Inscriptions!B52="","",IF(Inscriptions!O52="Payé","✅ Confirmation",IF(AND(Inscriptions!S52&lt;&gt;"",Inscriptions!S52&gt;0),"🔴 Retard","🟡 Rappel")))</f>
        <v>✅ Confirmation</v>
      </c>
      <c r="J58" s="29" t="str">
        <f>IF(Inscriptions!B52="","",IF(Inscriptions!O52="Payé",SUBSTITUTE(SUBSTITUTE(SUBSTITUTE(SUBSTITUTE(C5,"{MONTANT}",TEXT(Inscriptions!N52,"#,##0")&amp;" MRU"),"{PRENOM}",Inscriptions!C52),"{NOM}",Inscriptions!B52),"{PRESTATION}",E58),IF(AND(Inscriptions!S52&lt;&gt;"",Inscriptions!S52&gt;0),SUBSTITUTE(SUBSTITUTE(SUBSTITUTE(SUBSTITUTE(C4,"{MONTANT}",TEXT(Inscriptions!N52,"#,##0")&amp;" MRU"),"{PRENOM}",Inscriptions!C52),"{NOM}",Inscriptions!B52),"{RETARD}",TEXT(Inscriptions!S52,"0")),SUBSTITUTE(SUBSTITUTE(SUBSTITUTE(SUBSTITUTE(SUBSTITUTE(C3,"{MONTANT}",TEXT(Inscriptions!N52,"#,##0")&amp;" MRU"),"{PRENOM}",Inscriptions!C52),"{NOM}",Inscriptions!B52),"{PRESTATION}",E58),"{DATE_LIMITE}",IF(Inscriptions!R52="","non définie",TEXT(Inscriptions!R52,"DD/MM/YYYY"))))))</f>
        <v>✅ Bonjour, la Fiveur Academy confirme la réception du paiement de 2000,0 MRU pour Khalid JOUAMEH. Inscription validée pour : Football. Merci de votre confiance ! ⚽ Fiveur Academy — Since 2023.</v>
      </c>
    </row>
    <row r="59" spans="1:10">
      <c r="A59" s="26">
        <f>IF(Inscriptions!B53="","",Inscriptions!A53)</f>
        <v>51</v>
      </c>
      <c r="B59" s="26" t="str">
        <f>IF(Inscriptions!B53="","",Inscriptions!B53)</f>
        <v>DIAGANA</v>
      </c>
      <c r="C59" s="26" t="str">
        <f>IF(Inscriptions!B53="","",Inscriptions!C53)</f>
        <v>Cheikh Tijane</v>
      </c>
      <c r="D59" s="26" t="str">
        <f>IF(Inscriptions!B53="","",Inscriptions!G53)</f>
        <v>+222 46 40 40 50</v>
      </c>
      <c r="E59" s="26" t="str">
        <f>IF(Inscriptions!B53="","",IF(AND(Inscriptions!I53="Oui",Inscriptions!J53="Oui"),"Football + Loisirs",IF(Inscriptions!I53="Oui","Football",IF(Inscriptions!J53="Oui","Centre Loisirs",""))))</f>
        <v>Football</v>
      </c>
      <c r="F59" s="26">
        <f>IF(Inscriptions!B53="","",Inscriptions!N53)</f>
        <v>2000</v>
      </c>
      <c r="G59" s="26" t="str">
        <f>IF(Inscriptions!B53="","",Inscriptions!O53)</f>
        <v>Payé</v>
      </c>
      <c r="H59" s="26" t="str">
        <f ca="1">IF(Inscriptions!B53="","",IF(Inscriptions!S53="","—",Inscriptions!S53&amp;" j"))</f>
        <v>—</v>
      </c>
      <c r="I59" s="26" t="str">
        <f>IF(Inscriptions!B53="","",IF(Inscriptions!O53="Payé","✅ Confirmation",IF(AND(Inscriptions!S53&lt;&gt;"",Inscriptions!S53&gt;0),"🔴 Retard","🟡 Rappel")))</f>
        <v>✅ Confirmation</v>
      </c>
      <c r="J59" s="27" t="str">
        <f>IF(Inscriptions!B53="","",IF(Inscriptions!O53="Payé",SUBSTITUTE(SUBSTITUTE(SUBSTITUTE(SUBSTITUTE(C5,"{MONTANT}",TEXT(Inscriptions!N53,"#,##0")&amp;" MRU"),"{PRENOM}",Inscriptions!C53),"{NOM}",Inscriptions!B53),"{PRESTATION}",E59),IF(AND(Inscriptions!S53&lt;&gt;"",Inscriptions!S53&gt;0),SUBSTITUTE(SUBSTITUTE(SUBSTITUTE(SUBSTITUTE(C4,"{MONTANT}",TEXT(Inscriptions!N53,"#,##0")&amp;" MRU"),"{PRENOM}",Inscriptions!C53),"{NOM}",Inscriptions!B53),"{RETARD}",TEXT(Inscriptions!S53,"0")),SUBSTITUTE(SUBSTITUTE(SUBSTITUTE(SUBSTITUTE(SUBSTITUTE(C3,"{MONTANT}",TEXT(Inscriptions!N53,"#,##0")&amp;" MRU"),"{PRENOM}",Inscriptions!C53),"{NOM}",Inscriptions!B53),"{PRESTATION}",E59),"{DATE_LIMITE}",IF(Inscriptions!R53="","non définie",TEXT(Inscriptions!R53,"DD/MM/YYYY"))))))</f>
        <v>✅ Bonjour, la Fiveur Academy confirme la réception du paiement de 2000,0 MRU pour Cheikh Tijane DIAGANA. Inscription validée pour : Football. Merci de votre confiance ! ⚽ Fiveur Academy — Since 2023.</v>
      </c>
    </row>
    <row r="60" spans="1:10">
      <c r="A60" s="28">
        <f>IF(Inscriptions!B54="","",Inscriptions!A54)</f>
        <v>52</v>
      </c>
      <c r="B60" s="28" t="str">
        <f>IF(Inscriptions!B54="","",Inscriptions!B54)</f>
        <v>KONATÉ</v>
      </c>
      <c r="C60" s="28" t="str">
        <f>IF(Inscriptions!B54="","",Inscriptions!C54)</f>
        <v>Bachir</v>
      </c>
      <c r="D60" s="28" t="str">
        <f>IF(Inscriptions!B54="","",Inscriptions!G54)</f>
        <v>+222 42 00 04 20</v>
      </c>
      <c r="E60" s="28" t="str">
        <f>IF(Inscriptions!B54="","",IF(AND(Inscriptions!I54="Oui",Inscriptions!J54="Oui"),"Football + Loisirs",IF(Inscriptions!I54="Oui","Football",IF(Inscriptions!J54="Oui","Centre Loisirs",""))))</f>
        <v>Football</v>
      </c>
      <c r="F60" s="28">
        <f>IF(Inscriptions!B54="","",Inscriptions!N54)</f>
        <v>2000</v>
      </c>
      <c r="G60" s="28" t="str">
        <f>IF(Inscriptions!B54="","",Inscriptions!O54)</f>
        <v>Payé</v>
      </c>
      <c r="H60" s="28" t="str">
        <f ca="1">IF(Inscriptions!B54="","",IF(Inscriptions!S54="","—",Inscriptions!S54&amp;" j"))</f>
        <v>—</v>
      </c>
      <c r="I60" s="28" t="str">
        <f>IF(Inscriptions!B54="","",IF(Inscriptions!O54="Payé","✅ Confirmation",IF(AND(Inscriptions!S54&lt;&gt;"",Inscriptions!S54&gt;0),"🔴 Retard","🟡 Rappel")))</f>
        <v>✅ Confirmation</v>
      </c>
      <c r="J60" s="29" t="str">
        <f>IF(Inscriptions!B54="","",IF(Inscriptions!O54="Payé",SUBSTITUTE(SUBSTITUTE(SUBSTITUTE(SUBSTITUTE(C5,"{MONTANT}",TEXT(Inscriptions!N54,"#,##0")&amp;" MRU"),"{PRENOM}",Inscriptions!C54),"{NOM}",Inscriptions!B54),"{PRESTATION}",E60),IF(AND(Inscriptions!S54&lt;&gt;"",Inscriptions!S54&gt;0),SUBSTITUTE(SUBSTITUTE(SUBSTITUTE(SUBSTITUTE(C4,"{MONTANT}",TEXT(Inscriptions!N54,"#,##0")&amp;" MRU"),"{PRENOM}",Inscriptions!C54),"{NOM}",Inscriptions!B54),"{RETARD}",TEXT(Inscriptions!S54,"0")),SUBSTITUTE(SUBSTITUTE(SUBSTITUTE(SUBSTITUTE(SUBSTITUTE(C3,"{MONTANT}",TEXT(Inscriptions!N54,"#,##0")&amp;" MRU"),"{PRENOM}",Inscriptions!C54),"{NOM}",Inscriptions!B54),"{PRESTATION}",E60),"{DATE_LIMITE}",IF(Inscriptions!R54="","non définie",TEXT(Inscriptions!R54,"DD/MM/YYYY"))))))</f>
        <v>✅ Bonjour, la Fiveur Academy confirme la réception du paiement de 2000,0 MRU pour Bachir KONATÉ. Inscription validée pour : Football. Merci de votre confiance ! ⚽ Fiveur Academy — Since 2023.</v>
      </c>
    </row>
    <row r="61" spans="1:10">
      <c r="A61" s="26">
        <f>IF(Inscriptions!B55="","",Inscriptions!A55)</f>
        <v>53</v>
      </c>
      <c r="B61" s="26" t="str">
        <f>IF(Inscriptions!B55="","",Inscriptions!B55)</f>
        <v>SAMBA</v>
      </c>
      <c r="C61" s="26" t="str">
        <f>IF(Inscriptions!B55="","",Inscriptions!C55)</f>
        <v>Zakaria</v>
      </c>
      <c r="D61" s="26" t="str">
        <f>IF(Inscriptions!B55="","",Inscriptions!G55)</f>
        <v>+222 46 90 25 22</v>
      </c>
      <c r="E61" s="26" t="str">
        <f>IF(Inscriptions!B55="","",IF(AND(Inscriptions!I55="Oui",Inscriptions!J55="Oui"),"Football + Loisirs",IF(Inscriptions!I55="Oui","Football",IF(Inscriptions!J55="Oui","Centre Loisirs",""))))</f>
        <v>Football</v>
      </c>
      <c r="F61" s="26">
        <f>IF(Inscriptions!B55="","",Inscriptions!N55)</f>
        <v>2000</v>
      </c>
      <c r="G61" s="26" t="str">
        <f>IF(Inscriptions!B55="","",Inscriptions!O55)</f>
        <v>Payé</v>
      </c>
      <c r="H61" s="26" t="str">
        <f ca="1">IF(Inscriptions!B55="","",IF(Inscriptions!S55="","—",Inscriptions!S55&amp;" j"))</f>
        <v>—</v>
      </c>
      <c r="I61" s="26" t="str">
        <f>IF(Inscriptions!B55="","",IF(Inscriptions!O55="Payé","✅ Confirmation",IF(AND(Inscriptions!S55&lt;&gt;"",Inscriptions!S55&gt;0),"🔴 Retard","🟡 Rappel")))</f>
        <v>✅ Confirmation</v>
      </c>
      <c r="J61" s="27" t="str">
        <f>IF(Inscriptions!B55="","",IF(Inscriptions!O55="Payé",SUBSTITUTE(SUBSTITUTE(SUBSTITUTE(SUBSTITUTE(C5,"{MONTANT}",TEXT(Inscriptions!N55,"#,##0")&amp;" MRU"),"{PRENOM}",Inscriptions!C55),"{NOM}",Inscriptions!B55),"{PRESTATION}",E61),IF(AND(Inscriptions!S55&lt;&gt;"",Inscriptions!S55&gt;0),SUBSTITUTE(SUBSTITUTE(SUBSTITUTE(SUBSTITUTE(C4,"{MONTANT}",TEXT(Inscriptions!N55,"#,##0")&amp;" MRU"),"{PRENOM}",Inscriptions!C55),"{NOM}",Inscriptions!B55),"{RETARD}",TEXT(Inscriptions!S55,"0")),SUBSTITUTE(SUBSTITUTE(SUBSTITUTE(SUBSTITUTE(SUBSTITUTE(C3,"{MONTANT}",TEXT(Inscriptions!N55,"#,##0")&amp;" MRU"),"{PRENOM}",Inscriptions!C55),"{NOM}",Inscriptions!B55),"{PRESTATION}",E61),"{DATE_LIMITE}",IF(Inscriptions!R55="","non définie",TEXT(Inscriptions!R55,"DD/MM/YYYY"))))))</f>
        <v>✅ Bonjour, la Fiveur Academy confirme la réception du paiement de 2000,0 MRU pour Zakaria SAMBA. Inscription validée pour : Football. Merci de votre confiance ! ⚽ Fiveur Academy — Since 2023.</v>
      </c>
    </row>
    <row r="62" spans="1:10">
      <c r="A62" s="28">
        <f>IF(Inscriptions!B56="","",Inscriptions!A56)</f>
        <v>54</v>
      </c>
      <c r="B62" s="28" t="str">
        <f>IF(Inscriptions!B56="","",Inscriptions!B56)</f>
        <v>SAMBA</v>
      </c>
      <c r="C62" s="28" t="str">
        <f>IF(Inscriptions!B56="","",Inscriptions!C56)</f>
        <v>Moussa</v>
      </c>
      <c r="D62" s="28" t="str">
        <f>IF(Inscriptions!B56="","",Inscriptions!G56)</f>
        <v>+222 46 90 25 22</v>
      </c>
      <c r="E62" s="28" t="str">
        <f>IF(Inscriptions!B56="","",IF(AND(Inscriptions!I56="Oui",Inscriptions!J56="Oui"),"Football + Loisirs",IF(Inscriptions!I56="Oui","Football",IF(Inscriptions!J56="Oui","Centre Loisirs",""))))</f>
        <v>Football</v>
      </c>
      <c r="F62" s="28">
        <f>IF(Inscriptions!B56="","",Inscriptions!N56)</f>
        <v>2000</v>
      </c>
      <c r="G62" s="28" t="str">
        <f>IF(Inscriptions!B56="","",Inscriptions!O56)</f>
        <v>Payé</v>
      </c>
      <c r="H62" s="28" t="str">
        <f ca="1">IF(Inscriptions!B56="","",IF(Inscriptions!S56="","—",Inscriptions!S56&amp;" j"))</f>
        <v>—</v>
      </c>
      <c r="I62" s="28" t="str">
        <f>IF(Inscriptions!B56="","",IF(Inscriptions!O56="Payé","✅ Confirmation",IF(AND(Inscriptions!S56&lt;&gt;"",Inscriptions!S56&gt;0),"🔴 Retard","🟡 Rappel")))</f>
        <v>✅ Confirmation</v>
      </c>
      <c r="J62" s="29" t="str">
        <f>IF(Inscriptions!B56="","",IF(Inscriptions!O56="Payé",SUBSTITUTE(SUBSTITUTE(SUBSTITUTE(SUBSTITUTE(C5,"{MONTANT}",TEXT(Inscriptions!N56,"#,##0")&amp;" MRU"),"{PRENOM}",Inscriptions!C56),"{NOM}",Inscriptions!B56),"{PRESTATION}",E62),IF(AND(Inscriptions!S56&lt;&gt;"",Inscriptions!S56&gt;0),SUBSTITUTE(SUBSTITUTE(SUBSTITUTE(SUBSTITUTE(C4,"{MONTANT}",TEXT(Inscriptions!N56,"#,##0")&amp;" MRU"),"{PRENOM}",Inscriptions!C56),"{NOM}",Inscriptions!B56),"{RETARD}",TEXT(Inscriptions!S56,"0")),SUBSTITUTE(SUBSTITUTE(SUBSTITUTE(SUBSTITUTE(SUBSTITUTE(C3,"{MONTANT}",TEXT(Inscriptions!N56,"#,##0")&amp;" MRU"),"{PRENOM}",Inscriptions!C56),"{NOM}",Inscriptions!B56),"{PRESTATION}",E62),"{DATE_LIMITE}",IF(Inscriptions!R56="","non définie",TEXT(Inscriptions!R56,"DD/MM/YYYY"))))))</f>
        <v>✅ Bonjour, la Fiveur Academy confirme la réception du paiement de 2000,0 MRU pour Moussa SAMBA. Inscription validée pour : Football. Merci de votre confiance ! ⚽ Fiveur Academy — Since 2023.</v>
      </c>
    </row>
    <row r="63" spans="1:10">
      <c r="A63" s="26">
        <f>IF(Inscriptions!B57="","",Inscriptions!A57)</f>
        <v>55</v>
      </c>
      <c r="B63" s="26" t="str">
        <f>IF(Inscriptions!B57="","",Inscriptions!B57)</f>
        <v>SAMBA</v>
      </c>
      <c r="C63" s="26" t="str">
        <f>IF(Inscriptions!B57="","",Inscriptions!C57)</f>
        <v>Aminata</v>
      </c>
      <c r="D63" s="26" t="str">
        <f>IF(Inscriptions!B57="","",Inscriptions!G57)</f>
        <v>+222 46 90 25 22</v>
      </c>
      <c r="E63" s="26" t="str">
        <f>IF(Inscriptions!B57="","",IF(AND(Inscriptions!I57="Oui",Inscriptions!J57="Oui"),"Football + Loisirs",IF(Inscriptions!I57="Oui","Football",IF(Inscriptions!J57="Oui","Centre Loisirs",""))))</f>
        <v>Football</v>
      </c>
      <c r="F63" s="26">
        <f>IF(Inscriptions!B57="","",Inscriptions!N57)</f>
        <v>2000</v>
      </c>
      <c r="G63" s="26" t="str">
        <f>IF(Inscriptions!B57="","",Inscriptions!O57)</f>
        <v>Payé</v>
      </c>
      <c r="H63" s="26" t="str">
        <f ca="1">IF(Inscriptions!B57="","",IF(Inscriptions!S57="","—",Inscriptions!S57&amp;" j"))</f>
        <v>—</v>
      </c>
      <c r="I63" s="26" t="str">
        <f>IF(Inscriptions!B57="","",IF(Inscriptions!O57="Payé","✅ Confirmation",IF(AND(Inscriptions!S57&lt;&gt;"",Inscriptions!S57&gt;0),"🔴 Retard","🟡 Rappel")))</f>
        <v>✅ Confirmation</v>
      </c>
      <c r="J63" s="27" t="str">
        <f>IF(Inscriptions!B57="","",IF(Inscriptions!O57="Payé",SUBSTITUTE(SUBSTITUTE(SUBSTITUTE(SUBSTITUTE(C5,"{MONTANT}",TEXT(Inscriptions!N57,"#,##0")&amp;" MRU"),"{PRENOM}",Inscriptions!C57),"{NOM}",Inscriptions!B57),"{PRESTATION}",E63),IF(AND(Inscriptions!S57&lt;&gt;"",Inscriptions!S57&gt;0),SUBSTITUTE(SUBSTITUTE(SUBSTITUTE(SUBSTITUTE(C4,"{MONTANT}",TEXT(Inscriptions!N57,"#,##0")&amp;" MRU"),"{PRENOM}",Inscriptions!C57),"{NOM}",Inscriptions!B57),"{RETARD}",TEXT(Inscriptions!S57,"0")),SUBSTITUTE(SUBSTITUTE(SUBSTITUTE(SUBSTITUTE(SUBSTITUTE(C3,"{MONTANT}",TEXT(Inscriptions!N57,"#,##0")&amp;" MRU"),"{PRENOM}",Inscriptions!C57),"{NOM}",Inscriptions!B57),"{PRESTATION}",E63),"{DATE_LIMITE}",IF(Inscriptions!R57="","non définie",TEXT(Inscriptions!R57,"DD/MM/YYYY"))))))</f>
        <v>✅ Bonjour, la Fiveur Academy confirme la réception du paiement de 2000,0 MRU pour Aminata SAMBA. Inscription validée pour : Football. Merci de votre confiance ! ⚽ Fiveur Academy — Since 2023.</v>
      </c>
    </row>
    <row r="64" spans="1:10">
      <c r="A64" s="28">
        <f>IF(Inscriptions!B58="","",Inscriptions!A58)</f>
        <v>56</v>
      </c>
      <c r="B64" s="28" t="str">
        <f>IF(Inscriptions!B58="","",Inscriptions!B58)</f>
        <v>DIAGANA</v>
      </c>
      <c r="C64" s="28" t="str">
        <f>IF(Inscriptions!B58="","",Inscriptions!C58)</f>
        <v>Diedia</v>
      </c>
      <c r="D64" s="28" t="str">
        <f>IF(Inscriptions!B58="","",Inscriptions!G58)</f>
        <v>+222 47 47 77 77</v>
      </c>
      <c r="E64" s="28" t="str">
        <f>IF(Inscriptions!B58="","",IF(AND(Inscriptions!I58="Oui",Inscriptions!J58="Oui"),"Football + Loisirs",IF(Inscriptions!I58="Oui","Football",IF(Inscriptions!J58="Oui","Centre Loisirs",""))))</f>
        <v>Football</v>
      </c>
      <c r="F64" s="28">
        <f>IF(Inscriptions!B58="","",Inscriptions!N58)</f>
        <v>2000</v>
      </c>
      <c r="G64" s="28" t="str">
        <f>IF(Inscriptions!B58="","",Inscriptions!O58)</f>
        <v>Payé</v>
      </c>
      <c r="H64" s="28" t="str">
        <f ca="1">IF(Inscriptions!B58="","",IF(Inscriptions!S58="","—",Inscriptions!S58&amp;" j"))</f>
        <v>—</v>
      </c>
      <c r="I64" s="28" t="str">
        <f>IF(Inscriptions!B58="","",IF(Inscriptions!O58="Payé","✅ Confirmation",IF(AND(Inscriptions!S58&lt;&gt;"",Inscriptions!S58&gt;0),"🔴 Retard","🟡 Rappel")))</f>
        <v>✅ Confirmation</v>
      </c>
      <c r="J64" s="29" t="str">
        <f>IF(Inscriptions!B58="","",IF(Inscriptions!O58="Payé",SUBSTITUTE(SUBSTITUTE(SUBSTITUTE(SUBSTITUTE(C5,"{MONTANT}",TEXT(Inscriptions!N58,"#,##0")&amp;" MRU"),"{PRENOM}",Inscriptions!C58),"{NOM}",Inscriptions!B58),"{PRESTATION}",E64),IF(AND(Inscriptions!S58&lt;&gt;"",Inscriptions!S58&gt;0),SUBSTITUTE(SUBSTITUTE(SUBSTITUTE(SUBSTITUTE(C4,"{MONTANT}",TEXT(Inscriptions!N58,"#,##0")&amp;" MRU"),"{PRENOM}",Inscriptions!C58),"{NOM}",Inscriptions!B58),"{RETARD}",TEXT(Inscriptions!S58,"0")),SUBSTITUTE(SUBSTITUTE(SUBSTITUTE(SUBSTITUTE(SUBSTITUTE(C3,"{MONTANT}",TEXT(Inscriptions!N58,"#,##0")&amp;" MRU"),"{PRENOM}",Inscriptions!C58),"{NOM}",Inscriptions!B58),"{PRESTATION}",E64),"{DATE_LIMITE}",IF(Inscriptions!R58="","non définie",TEXT(Inscriptions!R58,"DD/MM/YYYY"))))))</f>
        <v>✅ Bonjour, la Fiveur Academy confirme la réception du paiement de 2000,0 MRU pour Diedia DIAGANA. Inscription validée pour : Football. Merci de votre confiance ! ⚽ Fiveur Academy — Since 2023.</v>
      </c>
    </row>
    <row r="65" spans="1:10">
      <c r="A65" s="26">
        <f>IF(Inscriptions!B59="","",Inscriptions!A59)</f>
        <v>57</v>
      </c>
      <c r="B65" s="26" t="str">
        <f>IF(Inscriptions!B59="","",Inscriptions!B59)</f>
        <v xml:space="preserve"> </v>
      </c>
      <c r="C65" s="26" t="str">
        <f>IF(Inscriptions!B59="","",Inscriptions!C59)</f>
        <v>Moussa</v>
      </c>
      <c r="D65" s="26" t="str">
        <f>IF(Inscriptions!B59="","",Inscriptions!G59)</f>
        <v>+1 (610) 931-3919</v>
      </c>
      <c r="E65" s="26" t="str">
        <f>IF(Inscriptions!B59="","",IF(AND(Inscriptions!I59="Oui",Inscriptions!J59="Oui"),"Football + Loisirs",IF(Inscriptions!I59="Oui","Football",IF(Inscriptions!J59="Oui","Centre Loisirs",""))))</f>
        <v>Football</v>
      </c>
      <c r="F65" s="26">
        <f>IF(Inscriptions!B59="","",Inscriptions!N59)</f>
        <v>2000</v>
      </c>
      <c r="G65" s="26" t="str">
        <f>IF(Inscriptions!B59="","",Inscriptions!O59)</f>
        <v>Payé</v>
      </c>
      <c r="H65" s="26" t="str">
        <f ca="1">IF(Inscriptions!B59="","",IF(Inscriptions!S59="","—",Inscriptions!S59&amp;" j"))</f>
        <v>—</v>
      </c>
      <c r="I65" s="26" t="str">
        <f>IF(Inscriptions!B59="","",IF(Inscriptions!O59="Payé","✅ Confirmation",IF(AND(Inscriptions!S59&lt;&gt;"",Inscriptions!S59&gt;0),"🔴 Retard","🟡 Rappel")))</f>
        <v>✅ Confirmation</v>
      </c>
      <c r="J65" s="27" t="str">
        <f>IF(Inscriptions!B59="","",IF(Inscriptions!O59="Payé",SUBSTITUTE(SUBSTITUTE(SUBSTITUTE(SUBSTITUTE(C5,"{MONTANT}",TEXT(Inscriptions!N59,"#,##0")&amp;" MRU"),"{PRENOM}",Inscriptions!C59),"{NOM}",Inscriptions!B59),"{PRESTATION}",E65),IF(AND(Inscriptions!S59&lt;&gt;"",Inscriptions!S59&gt;0),SUBSTITUTE(SUBSTITUTE(SUBSTITUTE(SUBSTITUTE(C4,"{MONTANT}",TEXT(Inscriptions!N59,"#,##0")&amp;" MRU"),"{PRENOM}",Inscriptions!C59),"{NOM}",Inscriptions!B59),"{RETARD}",TEXT(Inscriptions!S59,"0")),SUBSTITUTE(SUBSTITUTE(SUBSTITUTE(SUBSTITUTE(SUBSTITUTE(C3,"{MONTANT}",TEXT(Inscriptions!N59,"#,##0")&amp;" MRU"),"{PRENOM}",Inscriptions!C59),"{NOM}",Inscriptions!B59),"{PRESTATION}",E65),"{DATE_LIMITE}",IF(Inscriptions!R59="","non définie",TEXT(Inscriptions!R59,"DD/MM/YYYY"))))))</f>
        <v>✅ Bonjour, la Fiveur Academy confirme la réception du paiement de 2000,0 MRU pour Moussa  . Inscription validée pour : Football. Merci de votre confiance ! ⚽ Fiveur Academy — Since 2023.</v>
      </c>
    </row>
    <row r="66" spans="1:10">
      <c r="A66" s="28">
        <f>IF(Inscriptions!B60="","",Inscriptions!A60)</f>
        <v>58</v>
      </c>
      <c r="B66" s="28" t="str">
        <f>IF(Inscriptions!B60="","",Inscriptions!B60)</f>
        <v>CAMARA</v>
      </c>
      <c r="C66" s="28" t="str">
        <f>IF(Inscriptions!B60="","",Inscriptions!C60)</f>
        <v>Abdallahi</v>
      </c>
      <c r="D66" s="28" t="str">
        <f>IF(Inscriptions!B60="","",Inscriptions!G60)</f>
        <v>+1 (610) 931-3919</v>
      </c>
      <c r="E66" s="28" t="str">
        <f>IF(Inscriptions!B60="","",IF(AND(Inscriptions!I60="Oui",Inscriptions!J60="Oui"),"Football + Loisirs",IF(Inscriptions!I60="Oui","Football",IF(Inscriptions!J60="Oui","Centre Loisirs",""))))</f>
        <v>Football</v>
      </c>
      <c r="F66" s="28">
        <f>IF(Inscriptions!B60="","",Inscriptions!N60)</f>
        <v>2000</v>
      </c>
      <c r="G66" s="28" t="str">
        <f>IF(Inscriptions!B60="","",Inscriptions!O60)</f>
        <v>Payé</v>
      </c>
      <c r="H66" s="28" t="str">
        <f ca="1">IF(Inscriptions!B60="","",IF(Inscriptions!S60="","—",Inscriptions!S60&amp;" j"))</f>
        <v>—</v>
      </c>
      <c r="I66" s="28" t="str">
        <f>IF(Inscriptions!B60="","",IF(Inscriptions!O60="Payé","✅ Confirmation",IF(AND(Inscriptions!S60&lt;&gt;"",Inscriptions!S60&gt;0),"🔴 Retard","🟡 Rappel")))</f>
        <v>✅ Confirmation</v>
      </c>
      <c r="J66" s="29" t="str">
        <f>IF(Inscriptions!B60="","",IF(Inscriptions!O60="Payé",SUBSTITUTE(SUBSTITUTE(SUBSTITUTE(SUBSTITUTE(C5,"{MONTANT}",TEXT(Inscriptions!N60,"#,##0")&amp;" MRU"),"{PRENOM}",Inscriptions!C60),"{NOM}",Inscriptions!B60),"{PRESTATION}",E66),IF(AND(Inscriptions!S60&lt;&gt;"",Inscriptions!S60&gt;0),SUBSTITUTE(SUBSTITUTE(SUBSTITUTE(SUBSTITUTE(C4,"{MONTANT}",TEXT(Inscriptions!N60,"#,##0")&amp;" MRU"),"{PRENOM}",Inscriptions!C60),"{NOM}",Inscriptions!B60),"{RETARD}",TEXT(Inscriptions!S60,"0")),SUBSTITUTE(SUBSTITUTE(SUBSTITUTE(SUBSTITUTE(SUBSTITUTE(C3,"{MONTANT}",TEXT(Inscriptions!N60,"#,##0")&amp;" MRU"),"{PRENOM}",Inscriptions!C60),"{NOM}",Inscriptions!B60),"{PRESTATION}",E66),"{DATE_LIMITE}",IF(Inscriptions!R60="","non définie",TEXT(Inscriptions!R60,"DD/MM/YYYY"))))))</f>
        <v>✅ Bonjour, la Fiveur Academy confirme la réception du paiement de 2000,0 MRU pour Abdallahi CAMARA. Inscription validée pour : Football. Merci de votre confiance ! ⚽ Fiveur Academy — Since 2023.</v>
      </c>
    </row>
    <row r="67" spans="1:10">
      <c r="A67" s="26">
        <f>IF(Inscriptions!B61="","",Inscriptions!A61)</f>
        <v>59</v>
      </c>
      <c r="B67" s="26" t="str">
        <f>IF(Inscriptions!B61="","",Inscriptions!B61)</f>
        <v>DIALLO</v>
      </c>
      <c r="C67" s="26" t="str">
        <f>IF(Inscriptions!B61="","",Inscriptions!C61)</f>
        <v>Youssouf</v>
      </c>
      <c r="D67" s="26" t="str">
        <f>IF(Inscriptions!B61="","",Inscriptions!G61)</f>
        <v>+33 6 46 30 67 06</v>
      </c>
      <c r="E67" s="26" t="str">
        <f>IF(Inscriptions!B61="","",IF(AND(Inscriptions!I61="Oui",Inscriptions!J61="Oui"),"Football + Loisirs",IF(Inscriptions!I61="Oui","Football",IF(Inscriptions!J61="Oui","Centre Loisirs",""))))</f>
        <v>Football</v>
      </c>
      <c r="F67" s="26">
        <f>IF(Inscriptions!B61="","",Inscriptions!N61)</f>
        <v>2000</v>
      </c>
      <c r="G67" s="26" t="str">
        <f>IF(Inscriptions!B61="","",Inscriptions!O61)</f>
        <v>Payé</v>
      </c>
      <c r="H67" s="26" t="str">
        <f ca="1">IF(Inscriptions!B61="","",IF(Inscriptions!S61="","—",Inscriptions!S61&amp;" j"))</f>
        <v>—</v>
      </c>
      <c r="I67" s="26" t="str">
        <f>IF(Inscriptions!B61="","",IF(Inscriptions!O61="Payé","✅ Confirmation",IF(AND(Inscriptions!S61&lt;&gt;"",Inscriptions!S61&gt;0),"🔴 Retard","🟡 Rappel")))</f>
        <v>✅ Confirmation</v>
      </c>
      <c r="J67" s="27" t="str">
        <f>IF(Inscriptions!B61="","",IF(Inscriptions!O61="Payé",SUBSTITUTE(SUBSTITUTE(SUBSTITUTE(SUBSTITUTE(C5,"{MONTANT}",TEXT(Inscriptions!N61,"#,##0")&amp;" MRU"),"{PRENOM}",Inscriptions!C61),"{NOM}",Inscriptions!B61),"{PRESTATION}",E67),IF(AND(Inscriptions!S61&lt;&gt;"",Inscriptions!S61&gt;0),SUBSTITUTE(SUBSTITUTE(SUBSTITUTE(SUBSTITUTE(C4,"{MONTANT}",TEXT(Inscriptions!N61,"#,##0")&amp;" MRU"),"{PRENOM}",Inscriptions!C61),"{NOM}",Inscriptions!B61),"{RETARD}",TEXT(Inscriptions!S61,"0")),SUBSTITUTE(SUBSTITUTE(SUBSTITUTE(SUBSTITUTE(SUBSTITUTE(C3,"{MONTANT}",TEXT(Inscriptions!N61,"#,##0")&amp;" MRU"),"{PRENOM}",Inscriptions!C61),"{NOM}",Inscriptions!B61),"{PRESTATION}",E67),"{DATE_LIMITE}",IF(Inscriptions!R61="","non définie",TEXT(Inscriptions!R61,"DD/MM/YYYY"))))))</f>
        <v>✅ Bonjour, la Fiveur Academy confirme la réception du paiement de 2000,0 MRU pour Youssouf DIALLO. Inscription validée pour : Football. Merci de votre confiance ! ⚽ Fiveur Academy — Since 2023.</v>
      </c>
    </row>
    <row r="68" spans="1:10">
      <c r="A68" s="28">
        <f>IF(Inscriptions!B62="","",Inscriptions!A62)</f>
        <v>60</v>
      </c>
      <c r="B68" s="28" t="str">
        <f>IF(Inscriptions!B62="","",Inscriptions!B62)</f>
        <v>BAH</v>
      </c>
      <c r="C68" s="28" t="str">
        <f>IF(Inscriptions!B62="","",Inscriptions!C62)</f>
        <v>Khalipha</v>
      </c>
      <c r="D68" s="28" t="str">
        <f>IF(Inscriptions!B62="","",Inscriptions!G62)</f>
        <v>+222 47 88 18 08</v>
      </c>
      <c r="E68" s="28" t="str">
        <f>IF(Inscriptions!B62="","",IF(AND(Inscriptions!I62="Oui",Inscriptions!J62="Oui"),"Football + Loisirs",IF(Inscriptions!I62="Oui","Football",IF(Inscriptions!J62="Oui","Centre Loisirs",""))))</f>
        <v>Football</v>
      </c>
      <c r="F68" s="28">
        <f>IF(Inscriptions!B62="","",Inscriptions!N62)</f>
        <v>2000</v>
      </c>
      <c r="G68" s="28" t="str">
        <f>IF(Inscriptions!B62="","",Inscriptions!O62)</f>
        <v>Payé</v>
      </c>
      <c r="H68" s="28" t="str">
        <f ca="1">IF(Inscriptions!B62="","",IF(Inscriptions!S62="","—",Inscriptions!S62&amp;" j"))</f>
        <v>—</v>
      </c>
      <c r="I68" s="28" t="str">
        <f>IF(Inscriptions!B62="","",IF(Inscriptions!O62="Payé","✅ Confirmation",IF(AND(Inscriptions!S62&lt;&gt;"",Inscriptions!S62&gt;0),"🔴 Retard","🟡 Rappel")))</f>
        <v>✅ Confirmation</v>
      </c>
      <c r="J68" s="29" t="str">
        <f>IF(Inscriptions!B62="","",IF(Inscriptions!O62="Payé",SUBSTITUTE(SUBSTITUTE(SUBSTITUTE(SUBSTITUTE(C5,"{MONTANT}",TEXT(Inscriptions!N62,"#,##0")&amp;" MRU"),"{PRENOM}",Inscriptions!C62),"{NOM}",Inscriptions!B62),"{PRESTATION}",E68),IF(AND(Inscriptions!S62&lt;&gt;"",Inscriptions!S62&gt;0),SUBSTITUTE(SUBSTITUTE(SUBSTITUTE(SUBSTITUTE(C4,"{MONTANT}",TEXT(Inscriptions!N62,"#,##0")&amp;" MRU"),"{PRENOM}",Inscriptions!C62),"{NOM}",Inscriptions!B62),"{RETARD}",TEXT(Inscriptions!S62,"0")),SUBSTITUTE(SUBSTITUTE(SUBSTITUTE(SUBSTITUTE(SUBSTITUTE(C3,"{MONTANT}",TEXT(Inscriptions!N62,"#,##0")&amp;" MRU"),"{PRENOM}",Inscriptions!C62),"{NOM}",Inscriptions!B62),"{PRESTATION}",E68),"{DATE_LIMITE}",IF(Inscriptions!R62="","non définie",TEXT(Inscriptions!R62,"DD/MM/YYYY"))))))</f>
        <v>✅ Bonjour, la Fiveur Academy confirme la réception du paiement de 2000,0 MRU pour Khalipha BAH. Inscription validée pour : Football. Merci de votre confiance ! ⚽ Fiveur Academy — Since 2023.</v>
      </c>
    </row>
    <row r="69" spans="1:10">
      <c r="A69" s="26">
        <f>IF(Inscriptions!B63="","",Inscriptions!A63)</f>
        <v>61</v>
      </c>
      <c r="B69" s="26" t="str">
        <f>IF(Inscriptions!B63="","",Inscriptions!B63)</f>
        <v>KONATÉ</v>
      </c>
      <c r="C69" s="26" t="str">
        <f>IF(Inscriptions!B63="","",Inscriptions!C63)</f>
        <v>Kama</v>
      </c>
      <c r="D69" s="26" t="str">
        <f>IF(Inscriptions!B63="","",Inscriptions!G63)</f>
        <v>+222 41 46 24 13</v>
      </c>
      <c r="E69" s="26" t="str">
        <f>IF(Inscriptions!B63="","",IF(AND(Inscriptions!I63="Oui",Inscriptions!J63="Oui"),"Football + Loisirs",IF(Inscriptions!I63="Oui","Football",IF(Inscriptions!J63="Oui","Centre Loisirs",""))))</f>
        <v>Football</v>
      </c>
      <c r="F69" s="26">
        <f>IF(Inscriptions!B63="","",Inscriptions!N63)</f>
        <v>1000</v>
      </c>
      <c r="G69" s="26" t="str">
        <f>IF(Inscriptions!B63="","",Inscriptions!O63)</f>
        <v>Partiel</v>
      </c>
      <c r="H69" s="26" t="str">
        <f ca="1">IF(Inscriptions!B63="","",IF(Inscriptions!S63="","—",Inscriptions!S63&amp;" j"))</f>
        <v>—</v>
      </c>
      <c r="I69" s="26" t="str">
        <f ca="1">IF(Inscriptions!B63="","",IF(Inscriptions!O63="Payé","✅ Confirmation",IF(AND(Inscriptions!S63&lt;&gt;"",Inscriptions!S63&gt;0),"🔴 Retard","🟡 Rappel")))</f>
        <v>🟡 Rappel</v>
      </c>
      <c r="J69" s="27" t="str">
        <f ca="1">IF(Inscriptions!B63="","",IF(Inscriptions!O63="Payé",SUBSTITUTE(SUBSTITUTE(SUBSTITUTE(SUBSTITUTE(C5,"{MONTANT}",TEXT(Inscriptions!N63,"#,##0")&amp;" MRU"),"{PRENOM}",Inscriptions!C63),"{NOM}",Inscriptions!B63),"{PRESTATION}",E69),IF(AND(Inscriptions!S63&lt;&gt;"",Inscriptions!S63&gt;0),SUBSTITUTE(SUBSTITUTE(SUBSTITUTE(SUBSTITUTE(C4,"{MONTANT}",TEXT(Inscriptions!N63,"#,##0")&amp;" MRU"),"{PRENOM}",Inscriptions!C63),"{NOM}",Inscriptions!B63),"{RETARD}",TEXT(Inscriptions!S63,"0")),SUBSTITUTE(SUBSTITUTE(SUBSTITUTE(SUBSTITUTE(SUBSTITUTE(C3,"{MONTANT}",TEXT(Inscriptions!N63,"#,##0")&amp;" MRU"),"{PRENOM}",Inscriptions!C63),"{NOM}",Inscriptions!B63),"{PRESTATION}",E69),"{DATE_LIMITE}",IF(Inscriptions!R63="","non définie",TEXT(Inscriptions!R63,"DD/MM/YYYY"))))))</f>
        <v>Bonjour, ceci est un rappel de la Fiveur Academy. Le paiement de 1000,0 MRU pour l'inscription de Kama KONATÉ (Football) est en attente. Date limite : non définie. Merci de régulariser. Cordialement, Fiveur Academy.</v>
      </c>
    </row>
    <row r="70" spans="1:10">
      <c r="A70" s="28">
        <f>IF(Inscriptions!B64="","",Inscriptions!A64)</f>
        <v>62</v>
      </c>
      <c r="B70" s="28" t="str">
        <f>IF(Inscriptions!B64="","",Inscriptions!B64)</f>
        <v xml:space="preserve">SIDIBÉ </v>
      </c>
      <c r="C70" s="28" t="str">
        <f>IF(Inscriptions!B64="","",Inscriptions!C64)</f>
        <v>Karamoko</v>
      </c>
      <c r="D70" s="28" t="str">
        <f>IF(Inscriptions!B64="","",Inscriptions!G64)</f>
        <v>+222 46 83 01 01</v>
      </c>
      <c r="E70" s="28" t="str">
        <f>IF(Inscriptions!B64="","",IF(AND(Inscriptions!I64="Oui",Inscriptions!J64="Oui"),"Football + Loisirs",IF(Inscriptions!I64="Oui","Football",IF(Inscriptions!J64="Oui","Centre Loisirs",""))))</f>
        <v>Football</v>
      </c>
      <c r="F70" s="28">
        <f>IF(Inscriptions!B64="","",Inscriptions!N64)</f>
        <v>0</v>
      </c>
      <c r="G70" s="28" t="str">
        <f>IF(Inscriptions!B64="","",Inscriptions!O64)</f>
        <v>Partiel</v>
      </c>
      <c r="H70" s="28" t="str">
        <f ca="1">IF(Inscriptions!B64="","",IF(Inscriptions!S64="","—",Inscriptions!S64&amp;" j"))</f>
        <v>—</v>
      </c>
      <c r="I70" s="28" t="str">
        <f ca="1">IF(Inscriptions!B64="","",IF(Inscriptions!O64="Payé","✅ Confirmation",IF(AND(Inscriptions!S64&lt;&gt;"",Inscriptions!S64&gt;0),"🔴 Retard","🟡 Rappel")))</f>
        <v>🟡 Rappel</v>
      </c>
      <c r="J70" s="29" t="str">
        <f ca="1">IF(Inscriptions!B64="","",IF(Inscriptions!O64="Payé",SUBSTITUTE(SUBSTITUTE(SUBSTITUTE(SUBSTITUTE(C5,"{MONTANT}",TEXT(Inscriptions!N64,"#,##0")&amp;" MRU"),"{PRENOM}",Inscriptions!C64),"{NOM}",Inscriptions!B64),"{PRESTATION}",E70),IF(AND(Inscriptions!S64&lt;&gt;"",Inscriptions!S64&gt;0),SUBSTITUTE(SUBSTITUTE(SUBSTITUTE(SUBSTITUTE(C4,"{MONTANT}",TEXT(Inscriptions!N64,"#,##0")&amp;" MRU"),"{PRENOM}",Inscriptions!C64),"{NOM}",Inscriptions!B64),"{RETARD}",TEXT(Inscriptions!S64,"0")),SUBSTITUTE(SUBSTITUTE(SUBSTITUTE(SUBSTITUTE(SUBSTITUTE(C3,"{MONTANT}",TEXT(Inscriptions!N64,"#,##0")&amp;" MRU"),"{PRENOM}",Inscriptions!C64),"{NOM}",Inscriptions!B64),"{PRESTATION}",E70),"{DATE_LIMITE}",IF(Inscriptions!R64="","non définie",TEXT(Inscriptions!R64,"DD/MM/YYYY"))))))</f>
        <v>Bonjour, ceci est un rappel de la Fiveur Academy. Le paiement de ,0 MRU pour l'inscription de Karamoko SIDIBÉ  (Football) est en attente. Date limite : non définie. Merci de régulariser. Cordialement, Fiveur Academy.</v>
      </c>
    </row>
    <row r="71" spans="1:10">
      <c r="A71" s="26">
        <f>IF(Inscriptions!B65="","",Inscriptions!A65)</f>
        <v>63</v>
      </c>
      <c r="B71" s="26" t="str">
        <f>IF(Inscriptions!B65="","",Inscriptions!B65)</f>
        <v>BABY</v>
      </c>
      <c r="C71" s="26" t="str">
        <f>IF(Inscriptions!B65="","",Inscriptions!C65)</f>
        <v>Mohamed</v>
      </c>
      <c r="D71" s="26" t="str">
        <f>IF(Inscriptions!B65="","",Inscriptions!G65)</f>
        <v>+222 47 62 25 28</v>
      </c>
      <c r="E71" s="26" t="str">
        <f>IF(Inscriptions!B65="","",IF(AND(Inscriptions!I65="Oui",Inscriptions!J65="Oui"),"Football + Loisirs",IF(Inscriptions!I65="Oui","Football",IF(Inscriptions!J65="Oui","Centre Loisirs",""))))</f>
        <v>Football</v>
      </c>
      <c r="F71" s="26">
        <f>IF(Inscriptions!B65="","",Inscriptions!N65)</f>
        <v>2000</v>
      </c>
      <c r="G71" s="26" t="str">
        <f>IF(Inscriptions!B65="","",Inscriptions!O65)</f>
        <v>Payé</v>
      </c>
      <c r="H71" s="26" t="str">
        <f ca="1">IF(Inscriptions!B65="","",IF(Inscriptions!S65="","—",Inscriptions!S65&amp;" j"))</f>
        <v>—</v>
      </c>
      <c r="I71" s="26" t="str">
        <f>IF(Inscriptions!B65="","",IF(Inscriptions!O65="Payé","✅ Confirmation",IF(AND(Inscriptions!S65&lt;&gt;"",Inscriptions!S65&gt;0),"🔴 Retard","🟡 Rappel")))</f>
        <v>✅ Confirmation</v>
      </c>
      <c r="J71" s="27" t="str">
        <f>IF(Inscriptions!B65="","",IF(Inscriptions!O65="Payé",SUBSTITUTE(SUBSTITUTE(SUBSTITUTE(SUBSTITUTE(C5,"{MONTANT}",TEXT(Inscriptions!N65,"#,##0")&amp;" MRU"),"{PRENOM}",Inscriptions!C65),"{NOM}",Inscriptions!B65),"{PRESTATION}",E71),IF(AND(Inscriptions!S65&lt;&gt;"",Inscriptions!S65&gt;0),SUBSTITUTE(SUBSTITUTE(SUBSTITUTE(SUBSTITUTE(C4,"{MONTANT}",TEXT(Inscriptions!N65,"#,##0")&amp;" MRU"),"{PRENOM}",Inscriptions!C65),"{NOM}",Inscriptions!B65),"{RETARD}",TEXT(Inscriptions!S65,"0")),SUBSTITUTE(SUBSTITUTE(SUBSTITUTE(SUBSTITUTE(SUBSTITUTE(C3,"{MONTANT}",TEXT(Inscriptions!N65,"#,##0")&amp;" MRU"),"{PRENOM}",Inscriptions!C65),"{NOM}",Inscriptions!B65),"{PRESTATION}",E71),"{DATE_LIMITE}",IF(Inscriptions!R65="","non définie",TEXT(Inscriptions!R65,"DD/MM/YYYY"))))))</f>
        <v>✅ Bonjour, la Fiveur Academy confirme la réception du paiement de 2000,0 MRU pour Mohamed BABY. Inscription validée pour : Football. Merci de votre confiance ! ⚽ Fiveur Academy — Since 2023.</v>
      </c>
    </row>
    <row r="72" spans="1:10">
      <c r="A72" s="28">
        <f>IF(Inscriptions!B66="","",Inscriptions!A66)</f>
        <v>64</v>
      </c>
      <c r="B72" s="28" t="str">
        <f>IF(Inscriptions!B66="","",Inscriptions!B66)</f>
        <v>GADENGA</v>
      </c>
      <c r="C72" s="28" t="str">
        <f>IF(Inscriptions!B66="","",Inscriptions!C66)</f>
        <v>Issa</v>
      </c>
      <c r="D72" s="28" t="str">
        <f>IF(Inscriptions!B66="","",Inscriptions!G66)</f>
        <v>+222 27 92 96 12</v>
      </c>
      <c r="E72" s="28" t="str">
        <f>IF(Inscriptions!B66="","",IF(AND(Inscriptions!I66="Oui",Inscriptions!J66="Oui"),"Football + Loisirs",IF(Inscriptions!I66="Oui","Football",IF(Inscriptions!J66="Oui","Centre Loisirs",""))))</f>
        <v>Football</v>
      </c>
      <c r="F72" s="28">
        <f>IF(Inscriptions!B66="","",Inscriptions!N66)</f>
        <v>1000</v>
      </c>
      <c r="G72" s="28" t="str">
        <f>IF(Inscriptions!B66="","",Inscriptions!O66)</f>
        <v>Partiel</v>
      </c>
      <c r="H72" s="28" t="str">
        <f ca="1">IF(Inscriptions!B66="","",IF(Inscriptions!S66="","—",Inscriptions!S66&amp;" j"))</f>
        <v>—</v>
      </c>
      <c r="I72" s="28" t="str">
        <f ca="1">IF(Inscriptions!B66="","",IF(Inscriptions!O66="Payé","✅ Confirmation",IF(AND(Inscriptions!S66&lt;&gt;"",Inscriptions!S66&gt;0),"🔴 Retard","🟡 Rappel")))</f>
        <v>🟡 Rappel</v>
      </c>
      <c r="J72" s="29" t="str">
        <f ca="1">IF(Inscriptions!B66="","",IF(Inscriptions!O66="Payé",SUBSTITUTE(SUBSTITUTE(SUBSTITUTE(SUBSTITUTE(C5,"{MONTANT}",TEXT(Inscriptions!N66,"#,##0")&amp;" MRU"),"{PRENOM}",Inscriptions!C66),"{NOM}",Inscriptions!B66),"{PRESTATION}",E72),IF(AND(Inscriptions!S66&lt;&gt;"",Inscriptions!S66&gt;0),SUBSTITUTE(SUBSTITUTE(SUBSTITUTE(SUBSTITUTE(C4,"{MONTANT}",TEXT(Inscriptions!N66,"#,##0")&amp;" MRU"),"{PRENOM}",Inscriptions!C66),"{NOM}",Inscriptions!B66),"{RETARD}",TEXT(Inscriptions!S66,"0")),SUBSTITUTE(SUBSTITUTE(SUBSTITUTE(SUBSTITUTE(SUBSTITUTE(C3,"{MONTANT}",TEXT(Inscriptions!N66,"#,##0")&amp;" MRU"),"{PRENOM}",Inscriptions!C66),"{NOM}",Inscriptions!B66),"{PRESTATION}",E72),"{DATE_LIMITE}",IF(Inscriptions!R66="","non définie",TEXT(Inscriptions!R66,"DD/MM/YYYY"))))))</f>
        <v>Bonjour, ceci est un rappel de la Fiveur Academy. Le paiement de 1000,0 MRU pour l'inscription de Issa GADENGA (Football) est en attente. Date limite : non définie. Merci de régulariser. Cordialement, Fiveur Academy.</v>
      </c>
    </row>
    <row r="73" spans="1:10">
      <c r="A73" s="26">
        <f>IF(Inscriptions!B67="","",Inscriptions!A67)</f>
        <v>65</v>
      </c>
      <c r="B73" s="26" t="str">
        <f>IF(Inscriptions!B67="","",Inscriptions!B67)</f>
        <v>SOW</v>
      </c>
      <c r="C73" s="26" t="str">
        <f>IF(Inscriptions!B67="","",Inscriptions!C67)</f>
        <v>Moussa</v>
      </c>
      <c r="D73" s="26" t="str">
        <f>IF(Inscriptions!B67="","",Inscriptions!G67)</f>
        <v>+222 46 09 50 42</v>
      </c>
      <c r="E73" s="26" t="str">
        <f>IF(Inscriptions!B67="","",IF(AND(Inscriptions!I67="Oui",Inscriptions!J67="Oui"),"Football + Loisirs",IF(Inscriptions!I67="Oui","Football",IF(Inscriptions!J67="Oui","Centre Loisirs",""))))</f>
        <v>Football</v>
      </c>
      <c r="F73" s="26">
        <f>IF(Inscriptions!B67="","",Inscriptions!N67)</f>
        <v>1000</v>
      </c>
      <c r="G73" s="26" t="str">
        <f>IF(Inscriptions!B67="","",Inscriptions!O67)</f>
        <v>Partiel</v>
      </c>
      <c r="H73" s="26" t="str">
        <f ca="1">IF(Inscriptions!B67="","",IF(Inscriptions!S67="","—",Inscriptions!S67&amp;" j"))</f>
        <v>—</v>
      </c>
      <c r="I73" s="26" t="str">
        <f ca="1">IF(Inscriptions!B67="","",IF(Inscriptions!O67="Payé","✅ Confirmation",IF(AND(Inscriptions!S67&lt;&gt;"",Inscriptions!S67&gt;0),"🔴 Retard","🟡 Rappel")))</f>
        <v>🟡 Rappel</v>
      </c>
      <c r="J73" s="27" t="str">
        <f ca="1">IF(Inscriptions!B67="","",IF(Inscriptions!O67="Payé",SUBSTITUTE(SUBSTITUTE(SUBSTITUTE(SUBSTITUTE(C5,"{MONTANT}",TEXT(Inscriptions!N67,"#,##0")&amp;" MRU"),"{PRENOM}",Inscriptions!C67),"{NOM}",Inscriptions!B67),"{PRESTATION}",E73),IF(AND(Inscriptions!S67&lt;&gt;"",Inscriptions!S67&gt;0),SUBSTITUTE(SUBSTITUTE(SUBSTITUTE(SUBSTITUTE(C4,"{MONTANT}",TEXT(Inscriptions!N67,"#,##0")&amp;" MRU"),"{PRENOM}",Inscriptions!C67),"{NOM}",Inscriptions!B67),"{RETARD}",TEXT(Inscriptions!S67,"0")),SUBSTITUTE(SUBSTITUTE(SUBSTITUTE(SUBSTITUTE(SUBSTITUTE(C3,"{MONTANT}",TEXT(Inscriptions!N67,"#,##0")&amp;" MRU"),"{PRENOM}",Inscriptions!C67),"{NOM}",Inscriptions!B67),"{PRESTATION}",E73),"{DATE_LIMITE}",IF(Inscriptions!R67="","non définie",TEXT(Inscriptions!R67,"DD/MM/YYYY"))))))</f>
        <v>Bonjour, ceci est un rappel de la Fiveur Academy. Le paiement de 1000,0 MRU pour l'inscription de Moussa SOW (Football) est en attente. Date limite : non définie. Merci de régulariser. Cordialement, Fiveur Academy.</v>
      </c>
    </row>
    <row r="74" spans="1:10">
      <c r="A74" s="28">
        <f>IF(Inscriptions!B68="","",Inscriptions!A68)</f>
        <v>66</v>
      </c>
      <c r="B74" s="28" t="str">
        <f>IF(Inscriptions!B68="","",Inscriptions!B68)</f>
        <v>BA</v>
      </c>
      <c r="C74" s="28" t="str">
        <f>IF(Inscriptions!B68="","",Inscriptions!C68)</f>
        <v>Badara Ali</v>
      </c>
      <c r="D74" s="28" t="str">
        <f>IF(Inscriptions!B68="","",Inscriptions!G68)</f>
        <v>+222 44 24 35 63</v>
      </c>
      <c r="E74" s="28" t="str">
        <f>IF(Inscriptions!B68="","",IF(AND(Inscriptions!I68="Oui",Inscriptions!J68="Oui"),"Football + Loisirs",IF(Inscriptions!I68="Oui","Football",IF(Inscriptions!J68="Oui","Centre Loisirs",""))))</f>
        <v>Football</v>
      </c>
      <c r="F74" s="28">
        <f>IF(Inscriptions!B68="","",Inscriptions!N68)</f>
        <v>1000</v>
      </c>
      <c r="G74" s="28" t="str">
        <f>IF(Inscriptions!B68="","",Inscriptions!O68)</f>
        <v>Partiel</v>
      </c>
      <c r="H74" s="28" t="str">
        <f ca="1">IF(Inscriptions!B68="","",IF(Inscriptions!S68="","—",Inscriptions!S68&amp;" j"))</f>
        <v>—</v>
      </c>
      <c r="I74" s="28" t="str">
        <f ca="1">IF(Inscriptions!B68="","",IF(Inscriptions!O68="Payé","✅ Confirmation",IF(AND(Inscriptions!S68&lt;&gt;"",Inscriptions!S68&gt;0),"🔴 Retard","🟡 Rappel")))</f>
        <v>🟡 Rappel</v>
      </c>
      <c r="J74" s="29" t="str">
        <f ca="1">IF(Inscriptions!B68="","",IF(Inscriptions!O68="Payé",SUBSTITUTE(SUBSTITUTE(SUBSTITUTE(SUBSTITUTE(C5,"{MONTANT}",TEXT(Inscriptions!N68,"#,##0")&amp;" MRU"),"{PRENOM}",Inscriptions!C68),"{NOM}",Inscriptions!B68),"{PRESTATION}",E74),IF(AND(Inscriptions!S68&lt;&gt;"",Inscriptions!S68&gt;0),SUBSTITUTE(SUBSTITUTE(SUBSTITUTE(SUBSTITUTE(C4,"{MONTANT}",TEXT(Inscriptions!N68,"#,##0")&amp;" MRU"),"{PRENOM}",Inscriptions!C68),"{NOM}",Inscriptions!B68),"{RETARD}",TEXT(Inscriptions!S68,"0")),SUBSTITUTE(SUBSTITUTE(SUBSTITUTE(SUBSTITUTE(SUBSTITUTE(C3,"{MONTANT}",TEXT(Inscriptions!N68,"#,##0")&amp;" MRU"),"{PRENOM}",Inscriptions!C68),"{NOM}",Inscriptions!B68),"{PRESTATION}",E74),"{DATE_LIMITE}",IF(Inscriptions!R68="","non définie",TEXT(Inscriptions!R68,"DD/MM/YYYY"))))))</f>
        <v>Bonjour, ceci est un rappel de la Fiveur Academy. Le paiement de 1000,0 MRU pour l'inscription de Badara Ali BA (Football) est en attente. Date limite : non définie. Merci de régulariser. Cordialement, Fiveur Academy.</v>
      </c>
    </row>
    <row r="75" spans="1:10">
      <c r="A75" s="26">
        <f>IF(Inscriptions!B69="","",Inscriptions!A69)</f>
        <v>67</v>
      </c>
      <c r="B75" s="26" t="str">
        <f>IF(Inscriptions!B69="","",Inscriptions!B69)</f>
        <v xml:space="preserve">BA </v>
      </c>
      <c r="C75" s="26" t="str">
        <f>IF(Inscriptions!B69="","",Inscriptions!C69)</f>
        <v>Cheikh Tidjan</v>
      </c>
      <c r="D75" s="26" t="str">
        <f>IF(Inscriptions!B69="","",Inscriptions!G69)</f>
        <v>+222 46 83 14 90</v>
      </c>
      <c r="E75" s="26" t="str">
        <f>IF(Inscriptions!B69="","",IF(AND(Inscriptions!I69="Oui",Inscriptions!J69="Oui"),"Football + Loisirs",IF(Inscriptions!I69="Oui","Football",IF(Inscriptions!J69="Oui","Centre Loisirs",""))))</f>
        <v>Football</v>
      </c>
      <c r="F75" s="26">
        <f>IF(Inscriptions!B69="","",Inscriptions!N69)</f>
        <v>1000</v>
      </c>
      <c r="G75" s="26" t="str">
        <f>IF(Inscriptions!B69="","",Inscriptions!O69)</f>
        <v>Partiel</v>
      </c>
      <c r="H75" s="26" t="str">
        <f ca="1">IF(Inscriptions!B69="","",IF(Inscriptions!S69="","—",Inscriptions!S69&amp;" j"))</f>
        <v>—</v>
      </c>
      <c r="I75" s="26" t="str">
        <f ca="1">IF(Inscriptions!B69="","",IF(Inscriptions!O69="Payé","✅ Confirmation",IF(AND(Inscriptions!S69&lt;&gt;"",Inscriptions!S69&gt;0),"🔴 Retard","🟡 Rappel")))</f>
        <v>🟡 Rappel</v>
      </c>
      <c r="J75" s="27" t="str">
        <f ca="1">IF(Inscriptions!B69="","",IF(Inscriptions!O69="Payé",SUBSTITUTE(SUBSTITUTE(SUBSTITUTE(SUBSTITUTE(C5,"{MONTANT}",TEXT(Inscriptions!N69,"#,##0")&amp;" MRU"),"{PRENOM}",Inscriptions!C69),"{NOM}",Inscriptions!B69),"{PRESTATION}",E75),IF(AND(Inscriptions!S69&lt;&gt;"",Inscriptions!S69&gt;0),SUBSTITUTE(SUBSTITUTE(SUBSTITUTE(SUBSTITUTE(C4,"{MONTANT}",TEXT(Inscriptions!N69,"#,##0")&amp;" MRU"),"{PRENOM}",Inscriptions!C69),"{NOM}",Inscriptions!B69),"{RETARD}",TEXT(Inscriptions!S69,"0")),SUBSTITUTE(SUBSTITUTE(SUBSTITUTE(SUBSTITUTE(SUBSTITUTE(C3,"{MONTANT}",TEXT(Inscriptions!N69,"#,##0")&amp;" MRU"),"{PRENOM}",Inscriptions!C69),"{NOM}",Inscriptions!B69),"{PRESTATION}",E75),"{DATE_LIMITE}",IF(Inscriptions!R69="","non définie",TEXT(Inscriptions!R69,"DD/MM/YYYY"))))))</f>
        <v>Bonjour, ceci est un rappel de la Fiveur Academy. Le paiement de 1000,0 MRU pour l'inscription de Cheikh Tidjan BA  (Football) est en attente. Date limite : non définie. Merci de régulariser. Cordialement, Fiveur Academy.</v>
      </c>
    </row>
    <row r="76" spans="1:10">
      <c r="A76" s="28">
        <f>IF(Inscriptions!B70="","",Inscriptions!A70)</f>
        <v>68</v>
      </c>
      <c r="B76" s="28" t="str">
        <f>IF(Inscriptions!B70="","",Inscriptions!B70)</f>
        <v>M'BODJ</v>
      </c>
      <c r="C76" s="28" t="str">
        <f>IF(Inscriptions!B70="","",Inscriptions!C70)</f>
        <v>Seyidouna Mohamed</v>
      </c>
      <c r="D76" s="28" t="str">
        <f>IF(Inscriptions!B70="","",Inscriptions!G70)</f>
        <v>+222 44 72 88 70</v>
      </c>
      <c r="E76" s="28" t="str">
        <f>IF(Inscriptions!B70="","",IF(AND(Inscriptions!I70="Oui",Inscriptions!J70="Oui"),"Football + Loisirs",IF(Inscriptions!I70="Oui","Football",IF(Inscriptions!J70="Oui","Centre Loisirs",""))))</f>
        <v>Football</v>
      </c>
      <c r="F76" s="28">
        <f>IF(Inscriptions!B70="","",Inscriptions!N70)</f>
        <v>3000</v>
      </c>
      <c r="G76" s="28" t="str">
        <f>IF(Inscriptions!B70="","",Inscriptions!O70)</f>
        <v>Payé</v>
      </c>
      <c r="H76" s="28" t="str">
        <f ca="1">IF(Inscriptions!B70="","",IF(Inscriptions!S70="","—",Inscriptions!S70&amp;" j"))</f>
        <v>—</v>
      </c>
      <c r="I76" s="28" t="str">
        <f>IF(Inscriptions!B70="","",IF(Inscriptions!O70="Payé","✅ Confirmation",IF(AND(Inscriptions!S70&lt;&gt;"",Inscriptions!S70&gt;0),"🔴 Retard","🟡 Rappel")))</f>
        <v>✅ Confirmation</v>
      </c>
      <c r="J76" s="29" t="str">
        <f>IF(Inscriptions!B70="","",IF(Inscriptions!O70="Payé",SUBSTITUTE(SUBSTITUTE(SUBSTITUTE(SUBSTITUTE(C5,"{MONTANT}",TEXT(Inscriptions!N70,"#,##0")&amp;" MRU"),"{PRENOM}",Inscriptions!C70),"{NOM}",Inscriptions!B70),"{PRESTATION}",E76),IF(AND(Inscriptions!S70&lt;&gt;"",Inscriptions!S70&gt;0),SUBSTITUTE(SUBSTITUTE(SUBSTITUTE(SUBSTITUTE(C4,"{MONTANT}",TEXT(Inscriptions!N70,"#,##0")&amp;" MRU"),"{PRENOM}",Inscriptions!C70),"{NOM}",Inscriptions!B70),"{RETARD}",TEXT(Inscriptions!S70,"0")),SUBSTITUTE(SUBSTITUTE(SUBSTITUTE(SUBSTITUTE(SUBSTITUTE(C3,"{MONTANT}",TEXT(Inscriptions!N70,"#,##0")&amp;" MRU"),"{PRENOM}",Inscriptions!C70),"{NOM}",Inscriptions!B70),"{PRESTATION}",E76),"{DATE_LIMITE}",IF(Inscriptions!R70="","non définie",TEXT(Inscriptions!R70,"DD/MM/YYYY"))))))</f>
        <v>✅ Bonjour, la Fiveur Academy confirme la réception du paiement de 3000,0 MRU pour Seyidouna Mohamed M'BODJ. Inscription validée pour : Football. Merci de votre confiance ! ⚽ Fiveur Academy — Since 2023.</v>
      </c>
    </row>
    <row r="77" spans="1:10">
      <c r="A77" s="26">
        <f>IF(Inscriptions!B71="","",Inscriptions!A71)</f>
        <v>69</v>
      </c>
      <c r="B77" s="26" t="str">
        <f>IF(Inscriptions!B71="","",Inscriptions!B71)</f>
        <v>DIA</v>
      </c>
      <c r="C77" s="26" t="str">
        <f>IF(Inscriptions!B71="","",Inscriptions!C71)</f>
        <v>Abdoul</v>
      </c>
      <c r="D77" s="26" t="str">
        <f>IF(Inscriptions!B71="","",Inscriptions!G71)</f>
        <v>+222 47 72 25 00</v>
      </c>
      <c r="E77" s="26" t="str">
        <f>IF(Inscriptions!B71="","",IF(AND(Inscriptions!I71="Oui",Inscriptions!J71="Oui"),"Football + Loisirs",IF(Inscriptions!I71="Oui","Football",IF(Inscriptions!J71="Oui","Centre Loisirs",""))))</f>
        <v>Football</v>
      </c>
      <c r="F77" s="26">
        <f>IF(Inscriptions!B71="","",Inscriptions!N71)</f>
        <v>1000</v>
      </c>
      <c r="G77" s="26" t="str">
        <f>IF(Inscriptions!B71="","",Inscriptions!O71)</f>
        <v>Partiel</v>
      </c>
      <c r="H77" s="26" t="str">
        <f ca="1">IF(Inscriptions!B71="","",IF(Inscriptions!S71="","—",Inscriptions!S71&amp;" j"))</f>
        <v>—</v>
      </c>
      <c r="I77" s="26" t="str">
        <f ca="1">IF(Inscriptions!B71="","",IF(Inscriptions!O71="Payé","✅ Confirmation",IF(AND(Inscriptions!S71&lt;&gt;"",Inscriptions!S71&gt;0),"🔴 Retard","🟡 Rappel")))</f>
        <v>🟡 Rappel</v>
      </c>
      <c r="J77" s="27" t="str">
        <f ca="1">IF(Inscriptions!B71="","",IF(Inscriptions!O71="Payé",SUBSTITUTE(SUBSTITUTE(SUBSTITUTE(SUBSTITUTE(C5,"{MONTANT}",TEXT(Inscriptions!N71,"#,##0")&amp;" MRU"),"{PRENOM}",Inscriptions!C71),"{NOM}",Inscriptions!B71),"{PRESTATION}",E77),IF(AND(Inscriptions!S71&lt;&gt;"",Inscriptions!S71&gt;0),SUBSTITUTE(SUBSTITUTE(SUBSTITUTE(SUBSTITUTE(C4,"{MONTANT}",TEXT(Inscriptions!N71,"#,##0")&amp;" MRU"),"{PRENOM}",Inscriptions!C71),"{NOM}",Inscriptions!B71),"{RETARD}",TEXT(Inscriptions!S71,"0")),SUBSTITUTE(SUBSTITUTE(SUBSTITUTE(SUBSTITUTE(SUBSTITUTE(C3,"{MONTANT}",TEXT(Inscriptions!N71,"#,##0")&amp;" MRU"),"{PRENOM}",Inscriptions!C71),"{NOM}",Inscriptions!B71),"{PRESTATION}",E77),"{DATE_LIMITE}",IF(Inscriptions!R71="","non définie",TEXT(Inscriptions!R71,"DD/MM/YYYY"))))))</f>
        <v>Bonjour, ceci est un rappel de la Fiveur Academy. Le paiement de 1000,0 MRU pour l'inscription de Abdoul DIA (Football) est en attente. Date limite : non définie. Merci de régulariser. Cordialement, Fiveur Academy.</v>
      </c>
    </row>
    <row r="78" spans="1:10">
      <c r="A78" s="28">
        <f>IF(Inscriptions!B72="","",Inscriptions!A72)</f>
        <v>70</v>
      </c>
      <c r="B78" s="28" t="str">
        <f>IF(Inscriptions!B72="","",Inscriptions!B72)</f>
        <v>DJIMERA</v>
      </c>
      <c r="C78" s="28" t="str">
        <f>IF(Inscriptions!B72="","",Inscriptions!C72)</f>
        <v>Woury</v>
      </c>
      <c r="D78" s="28" t="str">
        <f>IF(Inscriptions!B72="","",Inscriptions!G72)</f>
        <v>+222 43 49 89 62</v>
      </c>
      <c r="E78" s="28" t="str">
        <f>IF(Inscriptions!B72="","",IF(AND(Inscriptions!I72="Oui",Inscriptions!J72="Oui"),"Football + Loisirs",IF(Inscriptions!I72="Oui","Football",IF(Inscriptions!J72="Oui","Centre Loisirs",""))))</f>
        <v>Football</v>
      </c>
      <c r="F78" s="28">
        <f>IF(Inscriptions!B72="","",Inscriptions!N72)</f>
        <v>1000</v>
      </c>
      <c r="G78" s="28" t="str">
        <f>IF(Inscriptions!B72="","",Inscriptions!O72)</f>
        <v>Partiel</v>
      </c>
      <c r="H78" s="28" t="str">
        <f ca="1">IF(Inscriptions!B72="","",IF(Inscriptions!S72="","—",Inscriptions!S72&amp;" j"))</f>
        <v>—</v>
      </c>
      <c r="I78" s="28" t="str">
        <f ca="1">IF(Inscriptions!B72="","",IF(Inscriptions!O72="Payé","✅ Confirmation",IF(AND(Inscriptions!S72&lt;&gt;"",Inscriptions!S72&gt;0),"🔴 Retard","🟡 Rappel")))</f>
        <v>🟡 Rappel</v>
      </c>
      <c r="J78" s="29" t="str">
        <f ca="1">IF(Inscriptions!B72="","",IF(Inscriptions!O72="Payé",SUBSTITUTE(SUBSTITUTE(SUBSTITUTE(SUBSTITUTE(C5,"{MONTANT}",TEXT(Inscriptions!N72,"#,##0")&amp;" MRU"),"{PRENOM}",Inscriptions!C72),"{NOM}",Inscriptions!B72),"{PRESTATION}",E78),IF(AND(Inscriptions!S72&lt;&gt;"",Inscriptions!S72&gt;0),SUBSTITUTE(SUBSTITUTE(SUBSTITUTE(SUBSTITUTE(C4,"{MONTANT}",TEXT(Inscriptions!N72,"#,##0")&amp;" MRU"),"{PRENOM}",Inscriptions!C72),"{NOM}",Inscriptions!B72),"{RETARD}",TEXT(Inscriptions!S72,"0")),SUBSTITUTE(SUBSTITUTE(SUBSTITUTE(SUBSTITUTE(SUBSTITUTE(C3,"{MONTANT}",TEXT(Inscriptions!N72,"#,##0")&amp;" MRU"),"{PRENOM}",Inscriptions!C72),"{NOM}",Inscriptions!B72),"{PRESTATION}",E78),"{DATE_LIMITE}",IF(Inscriptions!R72="","non définie",TEXT(Inscriptions!R72,"DD/MM/YYYY"))))))</f>
        <v>Bonjour, ceci est un rappel de la Fiveur Academy. Le paiement de 1000,0 MRU pour l'inscription de Woury DJIMERA (Football) est en attente. Date limite : non définie. Merci de régulariser. Cordialement, Fiveur Academy.</v>
      </c>
    </row>
    <row r="79" spans="1:10">
      <c r="A79" s="26">
        <f>IF(Inscriptions!B73="","",Inscriptions!A73)</f>
        <v>71</v>
      </c>
      <c r="B79" s="26" t="str">
        <f>IF(Inscriptions!B73="","",Inscriptions!B73)</f>
        <v>MOKTAR</v>
      </c>
      <c r="C79" s="26" t="str">
        <f>IF(Inscriptions!B73="","",Inscriptions!C73)</f>
        <v>Abdallah</v>
      </c>
      <c r="D79" s="26" t="str">
        <f>IF(Inscriptions!B73="","",Inscriptions!G73)</f>
        <v>+222 46 46 98 98</v>
      </c>
      <c r="E79" s="26" t="str">
        <f>IF(Inscriptions!B73="","",IF(AND(Inscriptions!I73="Oui",Inscriptions!J73="Oui"),"Football + Loisirs",IF(Inscriptions!I73="Oui","Football",IF(Inscriptions!J73="Oui","Centre Loisirs",""))))</f>
        <v>Football</v>
      </c>
      <c r="F79" s="26">
        <f>IF(Inscriptions!B73="","",Inscriptions!N73)</f>
        <v>1000</v>
      </c>
      <c r="G79" s="26" t="str">
        <f>IF(Inscriptions!B73="","",Inscriptions!O73)</f>
        <v>Partiel</v>
      </c>
      <c r="H79" s="26" t="str">
        <f ca="1">IF(Inscriptions!B73="","",IF(Inscriptions!S73="","—",Inscriptions!S73&amp;" j"))</f>
        <v>—</v>
      </c>
      <c r="I79" s="26" t="str">
        <f ca="1">IF(Inscriptions!B73="","",IF(Inscriptions!O73="Payé","✅ Confirmation",IF(AND(Inscriptions!S73&lt;&gt;"",Inscriptions!S73&gt;0),"🔴 Retard","🟡 Rappel")))</f>
        <v>🟡 Rappel</v>
      </c>
      <c r="J79" s="27" t="str">
        <f ca="1">IF(Inscriptions!B73="","",IF(Inscriptions!O73="Payé",SUBSTITUTE(SUBSTITUTE(SUBSTITUTE(SUBSTITUTE(C5,"{MONTANT}",TEXT(Inscriptions!N73,"#,##0")&amp;" MRU"),"{PRENOM}",Inscriptions!C73),"{NOM}",Inscriptions!B73),"{PRESTATION}",E79),IF(AND(Inscriptions!S73&lt;&gt;"",Inscriptions!S73&gt;0),SUBSTITUTE(SUBSTITUTE(SUBSTITUTE(SUBSTITUTE(C4,"{MONTANT}",TEXT(Inscriptions!N73,"#,##0")&amp;" MRU"),"{PRENOM}",Inscriptions!C73),"{NOM}",Inscriptions!B73),"{RETARD}",TEXT(Inscriptions!S73,"0")),SUBSTITUTE(SUBSTITUTE(SUBSTITUTE(SUBSTITUTE(SUBSTITUTE(C3,"{MONTANT}",TEXT(Inscriptions!N73,"#,##0")&amp;" MRU"),"{PRENOM}",Inscriptions!C73),"{NOM}",Inscriptions!B73),"{PRESTATION}",E79),"{DATE_LIMITE}",IF(Inscriptions!R73="","non définie",TEXT(Inscriptions!R73,"DD/MM/YYYY"))))))</f>
        <v>Bonjour, ceci est un rappel de la Fiveur Academy. Le paiement de 1000,0 MRU pour l'inscription de Abdallah MOKTAR (Football) est en attente. Date limite : non définie. Merci de régulariser. Cordialement, Fiveur Academy.</v>
      </c>
    </row>
    <row r="80" spans="1:10">
      <c r="A80" s="28">
        <f>IF(Inscriptions!B74="","",Inscriptions!A74)</f>
        <v>72</v>
      </c>
      <c r="B80" s="28" t="str">
        <f>IF(Inscriptions!B74="","",Inscriptions!B74)</f>
        <v>JIYID</v>
      </c>
      <c r="C80" s="28" t="str">
        <f>IF(Inscriptions!B74="","",Inscriptions!C74)</f>
        <v>Elyessa</v>
      </c>
      <c r="D80" s="28" t="str">
        <f>IF(Inscriptions!B74="","",Inscriptions!G74)</f>
        <v>+222 20 98 98 92</v>
      </c>
      <c r="E80" s="28" t="str">
        <f>IF(Inscriptions!B74="","",IF(AND(Inscriptions!I74="Oui",Inscriptions!J74="Oui"),"Football + Loisirs",IF(Inscriptions!I74="Oui","Football",IF(Inscriptions!J74="Oui","Centre Loisirs",""))))</f>
        <v>Football</v>
      </c>
      <c r="F80" s="28">
        <f>IF(Inscriptions!B74="","",Inscriptions!N74)</f>
        <v>1000</v>
      </c>
      <c r="G80" s="28" t="str">
        <f>IF(Inscriptions!B74="","",Inscriptions!O74)</f>
        <v>Partiel</v>
      </c>
      <c r="H80" s="28" t="str">
        <f ca="1">IF(Inscriptions!B74="","",IF(Inscriptions!S74="","—",Inscriptions!S74&amp;" j"))</f>
        <v>—</v>
      </c>
      <c r="I80" s="28" t="str">
        <f ca="1">IF(Inscriptions!B74="","",IF(Inscriptions!O74="Payé","✅ Confirmation",IF(AND(Inscriptions!S74&lt;&gt;"",Inscriptions!S74&gt;0),"🔴 Retard","🟡 Rappel")))</f>
        <v>🟡 Rappel</v>
      </c>
      <c r="J80" s="29" t="str">
        <f ca="1">IF(Inscriptions!B74="","",IF(Inscriptions!O74="Payé",SUBSTITUTE(SUBSTITUTE(SUBSTITUTE(SUBSTITUTE(C5,"{MONTANT}",TEXT(Inscriptions!N74,"#,##0")&amp;" MRU"),"{PRENOM}",Inscriptions!C74),"{NOM}",Inscriptions!B74),"{PRESTATION}",E80),IF(AND(Inscriptions!S74&lt;&gt;"",Inscriptions!S74&gt;0),SUBSTITUTE(SUBSTITUTE(SUBSTITUTE(SUBSTITUTE(C4,"{MONTANT}",TEXT(Inscriptions!N74,"#,##0")&amp;" MRU"),"{PRENOM}",Inscriptions!C74),"{NOM}",Inscriptions!B74),"{RETARD}",TEXT(Inscriptions!S74,"0")),SUBSTITUTE(SUBSTITUTE(SUBSTITUTE(SUBSTITUTE(SUBSTITUTE(C3,"{MONTANT}",TEXT(Inscriptions!N74,"#,##0")&amp;" MRU"),"{PRENOM}",Inscriptions!C74),"{NOM}",Inscriptions!B74),"{PRESTATION}",E80),"{DATE_LIMITE}",IF(Inscriptions!R74="","non définie",TEXT(Inscriptions!R74,"DD/MM/YYYY"))))))</f>
        <v>Bonjour, ceci est un rappel de la Fiveur Academy. Le paiement de 1000,0 MRU pour l'inscription de Elyessa JIYID (Football) est en attente. Date limite : non définie. Merci de régulariser. Cordialement, Fiveur Academy.</v>
      </c>
    </row>
    <row r="81" spans="1:10">
      <c r="A81" s="26">
        <f>IF(Inscriptions!B75="","",Inscriptions!A75)</f>
        <v>73</v>
      </c>
      <c r="B81" s="26" t="str">
        <f>IF(Inscriptions!B75="","",Inscriptions!B75)</f>
        <v>DIALLO</v>
      </c>
      <c r="C81" s="26" t="str">
        <f>IF(Inscriptions!B75="","",Inscriptions!C75)</f>
        <v>Abdallah</v>
      </c>
      <c r="D81" s="26" t="str">
        <f>IF(Inscriptions!B75="","",Inscriptions!G75)</f>
        <v>+222 44 21 03 57</v>
      </c>
      <c r="E81" s="26" t="str">
        <f>IF(Inscriptions!B75="","",IF(AND(Inscriptions!I75="Oui",Inscriptions!J75="Oui"),"Football + Loisirs",IF(Inscriptions!I75="Oui","Football",IF(Inscriptions!J75="Oui","Centre Loisirs",""))))</f>
        <v>Football</v>
      </c>
      <c r="F81" s="26">
        <f>IF(Inscriptions!B75="","",Inscriptions!N75)</f>
        <v>2000</v>
      </c>
      <c r="G81" s="26" t="str">
        <f>IF(Inscriptions!B75="","",Inscriptions!O75)</f>
        <v>Payé</v>
      </c>
      <c r="H81" s="26" t="str">
        <f ca="1">IF(Inscriptions!B75="","",IF(Inscriptions!S75="","—",Inscriptions!S75&amp;" j"))</f>
        <v>—</v>
      </c>
      <c r="I81" s="26" t="str">
        <f>IF(Inscriptions!B75="","",IF(Inscriptions!O75="Payé","✅ Confirmation",IF(AND(Inscriptions!S75&lt;&gt;"",Inscriptions!S75&gt;0),"🔴 Retard","🟡 Rappel")))</f>
        <v>✅ Confirmation</v>
      </c>
      <c r="J81" s="27" t="str">
        <f>IF(Inscriptions!B75="","",IF(Inscriptions!O75="Payé",SUBSTITUTE(SUBSTITUTE(SUBSTITUTE(SUBSTITUTE(C5,"{MONTANT}",TEXT(Inscriptions!N75,"#,##0")&amp;" MRU"),"{PRENOM}",Inscriptions!C75),"{NOM}",Inscriptions!B75),"{PRESTATION}",E81),IF(AND(Inscriptions!S75&lt;&gt;"",Inscriptions!S75&gt;0),SUBSTITUTE(SUBSTITUTE(SUBSTITUTE(SUBSTITUTE(C4,"{MONTANT}",TEXT(Inscriptions!N75,"#,##0")&amp;" MRU"),"{PRENOM}",Inscriptions!C75),"{NOM}",Inscriptions!B75),"{RETARD}",TEXT(Inscriptions!S75,"0")),SUBSTITUTE(SUBSTITUTE(SUBSTITUTE(SUBSTITUTE(SUBSTITUTE(C3,"{MONTANT}",TEXT(Inscriptions!N75,"#,##0")&amp;" MRU"),"{PRENOM}",Inscriptions!C75),"{NOM}",Inscriptions!B75),"{PRESTATION}",E81),"{DATE_LIMITE}",IF(Inscriptions!R75="","non définie",TEXT(Inscriptions!R75,"DD/MM/YYYY"))))))</f>
        <v>✅ Bonjour, la Fiveur Academy confirme la réception du paiement de 2000,0 MRU pour Abdallah DIALLO. Inscription validée pour : Football. Merci de votre confiance ! ⚽ Fiveur Academy — Since 2023.</v>
      </c>
    </row>
    <row r="82" spans="1:10">
      <c r="A82" s="28">
        <f>IF(Inscriptions!B76="","",Inscriptions!A76)</f>
        <v>74</v>
      </c>
      <c r="B82" s="28" t="str">
        <f>IF(Inscriptions!B76="","",Inscriptions!B76)</f>
        <v>DIALLO</v>
      </c>
      <c r="C82" s="28" t="str">
        <f>IF(Inscriptions!B76="","",Inscriptions!C76)</f>
        <v>Yakoub</v>
      </c>
      <c r="D82" s="28" t="str">
        <f>IF(Inscriptions!B76="","",Inscriptions!G76)</f>
        <v>+222 44 21 03 57</v>
      </c>
      <c r="E82" s="28" t="str">
        <f>IF(Inscriptions!B76="","",IF(AND(Inscriptions!I76="Oui",Inscriptions!J76="Oui"),"Football + Loisirs",IF(Inscriptions!I76="Oui","Football",IF(Inscriptions!J76="Oui","Centre Loisirs",""))))</f>
        <v>Football</v>
      </c>
      <c r="F82" s="28">
        <f>IF(Inscriptions!B76="","",Inscriptions!N76)</f>
        <v>2000</v>
      </c>
      <c r="G82" s="28" t="str">
        <f>IF(Inscriptions!B76="","",Inscriptions!O76)</f>
        <v>Payé</v>
      </c>
      <c r="H82" s="28" t="str">
        <f ca="1">IF(Inscriptions!B76="","",IF(Inscriptions!S76="","—",Inscriptions!S76&amp;" j"))</f>
        <v>—</v>
      </c>
      <c r="I82" s="28" t="str">
        <f>IF(Inscriptions!B76="","",IF(Inscriptions!O76="Payé","✅ Confirmation",IF(AND(Inscriptions!S76&lt;&gt;"",Inscriptions!S76&gt;0),"🔴 Retard","🟡 Rappel")))</f>
        <v>✅ Confirmation</v>
      </c>
      <c r="J82" s="29" t="str">
        <f>IF(Inscriptions!B76="","",IF(Inscriptions!O76="Payé",SUBSTITUTE(SUBSTITUTE(SUBSTITUTE(SUBSTITUTE(C5,"{MONTANT}",TEXT(Inscriptions!N76,"#,##0")&amp;" MRU"),"{PRENOM}",Inscriptions!C76),"{NOM}",Inscriptions!B76),"{PRESTATION}",E82),IF(AND(Inscriptions!S76&lt;&gt;"",Inscriptions!S76&gt;0),SUBSTITUTE(SUBSTITUTE(SUBSTITUTE(SUBSTITUTE(C4,"{MONTANT}",TEXT(Inscriptions!N76,"#,##0")&amp;" MRU"),"{PRENOM}",Inscriptions!C76),"{NOM}",Inscriptions!B76),"{RETARD}",TEXT(Inscriptions!S76,"0")),SUBSTITUTE(SUBSTITUTE(SUBSTITUTE(SUBSTITUTE(SUBSTITUTE(C3,"{MONTANT}",TEXT(Inscriptions!N76,"#,##0")&amp;" MRU"),"{PRENOM}",Inscriptions!C76),"{NOM}",Inscriptions!B76),"{PRESTATION}",E82),"{DATE_LIMITE}",IF(Inscriptions!R76="","non définie",TEXT(Inscriptions!R76,"DD/MM/YYYY"))))))</f>
        <v>✅ Bonjour, la Fiveur Academy confirme la réception du paiement de 2000,0 MRU pour Yakoub DIALLO. Inscription validée pour : Football. Merci de votre confiance ! ⚽ Fiveur Academy — Since 2023.</v>
      </c>
    </row>
    <row r="83" spans="1:10">
      <c r="A83" s="26">
        <f>IF(Inscriptions!B77="","",Inscriptions!A77)</f>
        <v>75</v>
      </c>
      <c r="B83" s="26" t="str">
        <f>IF(Inscriptions!B77="","",Inscriptions!B77)</f>
        <v>BA</v>
      </c>
      <c r="C83" s="26" t="str">
        <f>IF(Inscriptions!B77="","",Inscriptions!C77)</f>
        <v>Ismael</v>
      </c>
      <c r="D83" s="26" t="str">
        <f>IF(Inscriptions!B77="","",Inscriptions!G77)</f>
        <v>+222 41 74 85 90</v>
      </c>
      <c r="E83" s="26" t="str">
        <f>IF(Inscriptions!B77="","",IF(AND(Inscriptions!I77="Oui",Inscriptions!J77="Oui"),"Football + Loisirs",IF(Inscriptions!I77="Oui","Football",IF(Inscriptions!J77="Oui","Centre Loisirs",""))))</f>
        <v>Football</v>
      </c>
      <c r="F83" s="26">
        <f>IF(Inscriptions!B77="","",Inscriptions!N77)</f>
        <v>2000</v>
      </c>
      <c r="G83" s="26" t="str">
        <f>IF(Inscriptions!B77="","",Inscriptions!O77)</f>
        <v>Payé</v>
      </c>
      <c r="H83" s="26" t="str">
        <f ca="1">IF(Inscriptions!B77="","",IF(Inscriptions!S77="","—",Inscriptions!S77&amp;" j"))</f>
        <v>—</v>
      </c>
      <c r="I83" s="26" t="str">
        <f>IF(Inscriptions!B77="","",IF(Inscriptions!O77="Payé","✅ Confirmation",IF(AND(Inscriptions!S77&lt;&gt;"",Inscriptions!S77&gt;0),"🔴 Retard","🟡 Rappel")))</f>
        <v>✅ Confirmation</v>
      </c>
      <c r="J83" s="27" t="str">
        <f>IF(Inscriptions!B77="","",IF(Inscriptions!O77="Payé",SUBSTITUTE(SUBSTITUTE(SUBSTITUTE(SUBSTITUTE(C5,"{MONTANT}",TEXT(Inscriptions!N77,"#,##0")&amp;" MRU"),"{PRENOM}",Inscriptions!C77),"{NOM}",Inscriptions!B77),"{PRESTATION}",E83),IF(AND(Inscriptions!S77&lt;&gt;"",Inscriptions!S77&gt;0),SUBSTITUTE(SUBSTITUTE(SUBSTITUTE(SUBSTITUTE(C4,"{MONTANT}",TEXT(Inscriptions!N77,"#,##0")&amp;" MRU"),"{PRENOM}",Inscriptions!C77),"{NOM}",Inscriptions!B77),"{RETARD}",TEXT(Inscriptions!S77,"0")),SUBSTITUTE(SUBSTITUTE(SUBSTITUTE(SUBSTITUTE(SUBSTITUTE(C3,"{MONTANT}",TEXT(Inscriptions!N77,"#,##0")&amp;" MRU"),"{PRENOM}",Inscriptions!C77),"{NOM}",Inscriptions!B77),"{PRESTATION}",E83),"{DATE_LIMITE}",IF(Inscriptions!R77="","non définie",TEXT(Inscriptions!R77,"DD/MM/YYYY"))))))</f>
        <v>✅ Bonjour, la Fiveur Academy confirme la réception du paiement de 2000,0 MRU pour Ismael BA. Inscription validée pour : Football. Merci de votre confiance ! ⚽ Fiveur Academy — Since 2023.</v>
      </c>
    </row>
    <row r="84" spans="1:10">
      <c r="A84" s="28">
        <f>IF(Inscriptions!B78="","",Inscriptions!A78)</f>
        <v>76</v>
      </c>
      <c r="B84" s="28" t="str">
        <f>IF(Inscriptions!B78="","",Inscriptions!B78)</f>
        <v>MOHAMED CHEIKH</v>
      </c>
      <c r="C84" s="28" t="str">
        <f>IF(Inscriptions!B78="","",Inscriptions!C78)</f>
        <v>Mohamed</v>
      </c>
      <c r="D84" s="28" t="str">
        <f>IF(Inscriptions!B78="","",Inscriptions!G78)</f>
        <v>+222 22 28 22 20</v>
      </c>
      <c r="E84" s="28" t="str">
        <f>IF(Inscriptions!B78="","",IF(AND(Inscriptions!I78="Oui",Inscriptions!J78="Oui"),"Football + Loisirs",IF(Inscriptions!I78="Oui","Football",IF(Inscriptions!J78="Oui","Centre Loisirs",""))))</f>
        <v>Football</v>
      </c>
      <c r="F84" s="28">
        <f>IF(Inscriptions!B78="","",Inscriptions!N78)</f>
        <v>0</v>
      </c>
      <c r="G84" s="28" t="str">
        <f>IF(Inscriptions!B78="","",Inscriptions!O78)</f>
        <v>Payé</v>
      </c>
      <c r="H84" s="28" t="str">
        <f ca="1">IF(Inscriptions!B78="","",IF(Inscriptions!S78="","—",Inscriptions!S78&amp;" j"))</f>
        <v>—</v>
      </c>
      <c r="I84" s="28" t="str">
        <f>IF(Inscriptions!B78="","",IF(Inscriptions!O78="Payé","✅ Confirmation",IF(AND(Inscriptions!S78&lt;&gt;"",Inscriptions!S78&gt;0),"🔴 Retard","🟡 Rappel")))</f>
        <v>✅ Confirmation</v>
      </c>
      <c r="J84" s="29" t="str">
        <f>IF(Inscriptions!B78="","",IF(Inscriptions!O78="Payé",SUBSTITUTE(SUBSTITUTE(SUBSTITUTE(SUBSTITUTE(C5,"{MONTANT}",TEXT(Inscriptions!N78,"#,##0")&amp;" MRU"),"{PRENOM}",Inscriptions!C78),"{NOM}",Inscriptions!B78),"{PRESTATION}",E84),IF(AND(Inscriptions!S78&lt;&gt;"",Inscriptions!S78&gt;0),SUBSTITUTE(SUBSTITUTE(SUBSTITUTE(SUBSTITUTE(C4,"{MONTANT}",TEXT(Inscriptions!N78,"#,##0")&amp;" MRU"),"{PRENOM}",Inscriptions!C78),"{NOM}",Inscriptions!B78),"{RETARD}",TEXT(Inscriptions!S78,"0")),SUBSTITUTE(SUBSTITUTE(SUBSTITUTE(SUBSTITUTE(SUBSTITUTE(C3,"{MONTANT}",TEXT(Inscriptions!N78,"#,##0")&amp;" MRU"),"{PRENOM}",Inscriptions!C78),"{NOM}",Inscriptions!B78),"{PRESTATION}",E84),"{DATE_LIMITE}",IF(Inscriptions!R78="","non définie",TEXT(Inscriptions!R78,"DD/MM/YYYY"))))))</f>
        <v>✅ Bonjour, la Fiveur Academy confirme la réception du paiement de ,0 MRU pour Mohamed MOHAMED CHEIKH. Inscription validée pour : Football. Merci de votre confiance ! ⚽ Fiveur Academy — Since 2023.</v>
      </c>
    </row>
    <row r="85" spans="1:10">
      <c r="A85" s="26">
        <f>IF(Inscriptions!B79="","",Inscriptions!A79)</f>
        <v>77</v>
      </c>
      <c r="B85" s="26" t="str">
        <f>IF(Inscriptions!B79="","",Inscriptions!B79)</f>
        <v>SYLLA</v>
      </c>
      <c r="C85" s="26" t="str">
        <f>IF(Inscriptions!B79="","",Inscriptions!C79)</f>
        <v>Adama</v>
      </c>
      <c r="D85" s="26" t="str">
        <f>IF(Inscriptions!B79="","",Inscriptions!G79)</f>
        <v>+222 44 05 61 02</v>
      </c>
      <c r="E85" s="26" t="str">
        <f>IF(Inscriptions!B79="","",IF(AND(Inscriptions!I79="Oui",Inscriptions!J79="Oui"),"Football + Loisirs",IF(Inscriptions!I79="Oui","Football",IF(Inscriptions!J79="Oui","Centre Loisirs",""))))</f>
        <v>Football</v>
      </c>
      <c r="F85" s="26">
        <f>IF(Inscriptions!B79="","",Inscriptions!N79)</f>
        <v>1000</v>
      </c>
      <c r="G85" s="26" t="str">
        <f>IF(Inscriptions!B79="","",Inscriptions!O79)</f>
        <v>Partiel</v>
      </c>
      <c r="H85" s="26" t="str">
        <f ca="1">IF(Inscriptions!B79="","",IF(Inscriptions!S79="","—",Inscriptions!S79&amp;" j"))</f>
        <v>—</v>
      </c>
      <c r="I85" s="26" t="str">
        <f ca="1">IF(Inscriptions!B79="","",IF(Inscriptions!O79="Payé","✅ Confirmation",IF(AND(Inscriptions!S79&lt;&gt;"",Inscriptions!S79&gt;0),"🔴 Retard","🟡 Rappel")))</f>
        <v>🟡 Rappel</v>
      </c>
      <c r="J85" s="27" t="str">
        <f ca="1">IF(Inscriptions!B79="","",IF(Inscriptions!O79="Payé",SUBSTITUTE(SUBSTITUTE(SUBSTITUTE(SUBSTITUTE(C5,"{MONTANT}",TEXT(Inscriptions!N79,"#,##0")&amp;" MRU"),"{PRENOM}",Inscriptions!C79),"{NOM}",Inscriptions!B79),"{PRESTATION}",E85),IF(AND(Inscriptions!S79&lt;&gt;"",Inscriptions!S79&gt;0),SUBSTITUTE(SUBSTITUTE(SUBSTITUTE(SUBSTITUTE(C4,"{MONTANT}",TEXT(Inscriptions!N79,"#,##0")&amp;" MRU"),"{PRENOM}",Inscriptions!C79),"{NOM}",Inscriptions!B79),"{RETARD}",TEXT(Inscriptions!S79,"0")),SUBSTITUTE(SUBSTITUTE(SUBSTITUTE(SUBSTITUTE(SUBSTITUTE(C3,"{MONTANT}",TEXT(Inscriptions!N79,"#,##0")&amp;" MRU"),"{PRENOM}",Inscriptions!C79),"{NOM}",Inscriptions!B79),"{PRESTATION}",E85),"{DATE_LIMITE}",IF(Inscriptions!R79="","non définie",TEXT(Inscriptions!R79,"DD/MM/YYYY"))))))</f>
        <v>Bonjour, ceci est un rappel de la Fiveur Academy. Le paiement de 1000,0 MRU pour l'inscription de Adama SYLLA (Football) est en attente. Date limite : non définie. Merci de régulariser. Cordialement, Fiveur Academy.</v>
      </c>
    </row>
    <row r="86" spans="1:10">
      <c r="A86" s="28">
        <f>IF(Inscriptions!B80="","",Inscriptions!A80)</f>
        <v>78</v>
      </c>
      <c r="B86" s="28" t="str">
        <f>IF(Inscriptions!B80="","",Inscriptions!B80)</f>
        <v>SOW</v>
      </c>
      <c r="C86" s="28" t="str">
        <f>IF(Inscriptions!B80="","",Inscriptions!C80)</f>
        <v>Mohamed</v>
      </c>
      <c r="D86" s="28" t="str">
        <f>IF(Inscriptions!B80="","",Inscriptions!G80)</f>
        <v>+222 44 89 97 98</v>
      </c>
      <c r="E86" s="28" t="str">
        <f>IF(Inscriptions!B80="","",IF(AND(Inscriptions!I80="Oui",Inscriptions!J80="Oui"),"Football + Loisirs",IF(Inscriptions!I80="Oui","Football",IF(Inscriptions!J80="Oui","Centre Loisirs",""))))</f>
        <v>Football</v>
      </c>
      <c r="F86" s="28">
        <f>IF(Inscriptions!B80="","",Inscriptions!N80)</f>
        <v>1000</v>
      </c>
      <c r="G86" s="28" t="str">
        <f>IF(Inscriptions!B80="","",Inscriptions!O80)</f>
        <v>Partiel</v>
      </c>
      <c r="H86" s="28" t="str">
        <f ca="1">IF(Inscriptions!B80="","",IF(Inscriptions!S80="","—",Inscriptions!S80&amp;" j"))</f>
        <v>—</v>
      </c>
      <c r="I86" s="28" t="str">
        <f ca="1">IF(Inscriptions!B80="","",IF(Inscriptions!O80="Payé","✅ Confirmation",IF(AND(Inscriptions!S80&lt;&gt;"",Inscriptions!S80&gt;0),"🔴 Retard","🟡 Rappel")))</f>
        <v>🟡 Rappel</v>
      </c>
      <c r="J86" s="29" t="str">
        <f ca="1">IF(Inscriptions!B80="","",IF(Inscriptions!O80="Payé",SUBSTITUTE(SUBSTITUTE(SUBSTITUTE(SUBSTITUTE(C5,"{MONTANT}",TEXT(Inscriptions!N80,"#,##0")&amp;" MRU"),"{PRENOM}",Inscriptions!C80),"{NOM}",Inscriptions!B80),"{PRESTATION}",E86),IF(AND(Inscriptions!S80&lt;&gt;"",Inscriptions!S80&gt;0),SUBSTITUTE(SUBSTITUTE(SUBSTITUTE(SUBSTITUTE(C4,"{MONTANT}",TEXT(Inscriptions!N80,"#,##0")&amp;" MRU"),"{PRENOM}",Inscriptions!C80),"{NOM}",Inscriptions!B80),"{RETARD}",TEXT(Inscriptions!S80,"0")),SUBSTITUTE(SUBSTITUTE(SUBSTITUTE(SUBSTITUTE(SUBSTITUTE(C3,"{MONTANT}",TEXT(Inscriptions!N80,"#,##0")&amp;" MRU"),"{PRENOM}",Inscriptions!C80),"{NOM}",Inscriptions!B80),"{PRESTATION}",E86),"{DATE_LIMITE}",IF(Inscriptions!R80="","non définie",TEXT(Inscriptions!R80,"DD/MM/YYYY"))))))</f>
        <v>Bonjour, ceci est un rappel de la Fiveur Academy. Le paiement de 1000,0 MRU pour l'inscription de Mohamed SOW (Football) est en attente. Date limite : non définie. Merci de régulariser. Cordialement, Fiveur Academy.</v>
      </c>
    </row>
    <row r="87" spans="1:10">
      <c r="A87" s="26">
        <f>IF(Inscriptions!B81="","",Inscriptions!A81)</f>
        <v>79</v>
      </c>
      <c r="B87" s="26" t="str">
        <f>IF(Inscriptions!B81="","",Inscriptions!B81)</f>
        <v>N'DIAYE</v>
      </c>
      <c r="C87" s="26" t="str">
        <f>IF(Inscriptions!B81="","",Inscriptions!C81)</f>
        <v>Ibrahim</v>
      </c>
      <c r="D87" s="26" t="str">
        <f>IF(Inscriptions!B81="","",Inscriptions!G81)</f>
        <v>‪+222 41 04 56 30‬</v>
      </c>
      <c r="E87" s="26" t="str">
        <f>IF(Inscriptions!B81="","",IF(AND(Inscriptions!I81="Oui",Inscriptions!J81="Oui"),"Football + Loisirs",IF(Inscriptions!I81="Oui","Football",IF(Inscriptions!J81="Oui","Centre Loisirs",""))))</f>
        <v>Football</v>
      </c>
      <c r="F87" s="26">
        <f>IF(Inscriptions!B81="","",Inscriptions!N81)</f>
        <v>1000</v>
      </c>
      <c r="G87" s="26" t="str">
        <f>IF(Inscriptions!B81="","",Inscriptions!O81)</f>
        <v>Partiel</v>
      </c>
      <c r="H87" s="26" t="str">
        <f ca="1">IF(Inscriptions!B81="","",IF(Inscriptions!S81="","—",Inscriptions!S81&amp;" j"))</f>
        <v>—</v>
      </c>
      <c r="I87" s="26" t="str">
        <f ca="1">IF(Inscriptions!B81="","",IF(Inscriptions!O81="Payé","✅ Confirmation",IF(AND(Inscriptions!S81&lt;&gt;"",Inscriptions!S81&gt;0),"🔴 Retard","🟡 Rappel")))</f>
        <v>🟡 Rappel</v>
      </c>
      <c r="J87" s="27" t="str">
        <f ca="1">IF(Inscriptions!B81="","",IF(Inscriptions!O81="Payé",SUBSTITUTE(SUBSTITUTE(SUBSTITUTE(SUBSTITUTE(C5,"{MONTANT}",TEXT(Inscriptions!N81,"#,##0")&amp;" MRU"),"{PRENOM}",Inscriptions!C81),"{NOM}",Inscriptions!B81),"{PRESTATION}",E87),IF(AND(Inscriptions!S81&lt;&gt;"",Inscriptions!S81&gt;0),SUBSTITUTE(SUBSTITUTE(SUBSTITUTE(SUBSTITUTE(C4,"{MONTANT}",TEXT(Inscriptions!N81,"#,##0")&amp;" MRU"),"{PRENOM}",Inscriptions!C81),"{NOM}",Inscriptions!B81),"{RETARD}",TEXT(Inscriptions!S81,"0")),SUBSTITUTE(SUBSTITUTE(SUBSTITUTE(SUBSTITUTE(SUBSTITUTE(C3,"{MONTANT}",TEXT(Inscriptions!N81,"#,##0")&amp;" MRU"),"{PRENOM}",Inscriptions!C81),"{NOM}",Inscriptions!B81),"{PRESTATION}",E87),"{DATE_LIMITE}",IF(Inscriptions!R81="","non définie",TEXT(Inscriptions!R81,"DD/MM/YYYY"))))))</f>
        <v>Bonjour, ceci est un rappel de la Fiveur Academy. Le paiement de 1000,0 MRU pour l'inscription de Ibrahim N'DIAYE (Football) est en attente. Date limite : non définie. Merci de régulariser. Cordialement, Fiveur Academy.</v>
      </c>
    </row>
    <row r="88" spans="1:10">
      <c r="A88" s="28">
        <f>IF(Inscriptions!B82="","",Inscriptions!A82)</f>
        <v>80</v>
      </c>
      <c r="B88" s="28" t="str">
        <f>IF(Inscriptions!B82="","",Inscriptions!B82)</f>
        <v>N'DIAYE</v>
      </c>
      <c r="C88" s="28" t="str">
        <f>IF(Inscriptions!B82="","",Inscriptions!C82)</f>
        <v>Moussa</v>
      </c>
      <c r="D88" s="28" t="str">
        <f>IF(Inscriptions!B82="","",Inscriptions!G82)</f>
        <v>‪+222 41 04 56 30‬</v>
      </c>
      <c r="E88" s="28" t="str">
        <f>IF(Inscriptions!B82="","",IF(AND(Inscriptions!I82="Oui",Inscriptions!J82="Oui"),"Football + Loisirs",IF(Inscriptions!I82="Oui","Football",IF(Inscriptions!J82="Oui","Centre Loisirs",""))))</f>
        <v>Football</v>
      </c>
      <c r="F88" s="28">
        <f>IF(Inscriptions!B82="","",Inscriptions!N82)</f>
        <v>1000</v>
      </c>
      <c r="G88" s="28" t="str">
        <f>IF(Inscriptions!B82="","",Inscriptions!O82)</f>
        <v>Partiel</v>
      </c>
      <c r="H88" s="28" t="str">
        <f ca="1">IF(Inscriptions!B82="","",IF(Inscriptions!S82="","—",Inscriptions!S82&amp;" j"))</f>
        <v>—</v>
      </c>
      <c r="I88" s="28" t="str">
        <f ca="1">IF(Inscriptions!B82="","",IF(Inscriptions!O82="Payé","✅ Confirmation",IF(AND(Inscriptions!S82&lt;&gt;"",Inscriptions!S82&gt;0),"🔴 Retard","🟡 Rappel")))</f>
        <v>🟡 Rappel</v>
      </c>
      <c r="J88" s="29" t="str">
        <f ca="1">IF(Inscriptions!B82="","",IF(Inscriptions!O82="Payé",SUBSTITUTE(SUBSTITUTE(SUBSTITUTE(SUBSTITUTE(C5,"{MONTANT}",TEXT(Inscriptions!N82,"#,##0")&amp;" MRU"),"{PRENOM}",Inscriptions!C82),"{NOM}",Inscriptions!B82),"{PRESTATION}",E88),IF(AND(Inscriptions!S82&lt;&gt;"",Inscriptions!S82&gt;0),SUBSTITUTE(SUBSTITUTE(SUBSTITUTE(SUBSTITUTE(C4,"{MONTANT}",TEXT(Inscriptions!N82,"#,##0")&amp;" MRU"),"{PRENOM}",Inscriptions!C82),"{NOM}",Inscriptions!B82),"{RETARD}",TEXT(Inscriptions!S82,"0")),SUBSTITUTE(SUBSTITUTE(SUBSTITUTE(SUBSTITUTE(SUBSTITUTE(C3,"{MONTANT}",TEXT(Inscriptions!N82,"#,##0")&amp;" MRU"),"{PRENOM}",Inscriptions!C82),"{NOM}",Inscriptions!B82),"{PRESTATION}",E88),"{DATE_LIMITE}",IF(Inscriptions!R82="","non définie",TEXT(Inscriptions!R82,"DD/MM/YYYY"))))))</f>
        <v>Bonjour, ceci est un rappel de la Fiveur Academy. Le paiement de 1000,0 MRU pour l'inscription de Moussa N'DIAYE (Football) est en attente. Date limite : non définie. Merci de régulariser. Cordialement, Fiveur Academy.</v>
      </c>
    </row>
    <row r="89" spans="1:10">
      <c r="A89" s="26">
        <f>IF(Inscriptions!B83="","",Inscriptions!A83)</f>
        <v>81</v>
      </c>
      <c r="B89" s="26" t="str">
        <f>IF(Inscriptions!B83="","",Inscriptions!B83)</f>
        <v>CISSÉ</v>
      </c>
      <c r="C89" s="26" t="str">
        <f>IF(Inscriptions!B83="","",Inscriptions!C83)</f>
        <v>Souleymane</v>
      </c>
      <c r="D89" s="26" t="str">
        <f>IF(Inscriptions!B83="","",Inscriptions!G83)</f>
        <v>+222 37 34 76 60</v>
      </c>
      <c r="E89" s="26" t="str">
        <f>IF(Inscriptions!B83="","",IF(AND(Inscriptions!I83="Oui",Inscriptions!J83="Oui"),"Football + Loisirs",IF(Inscriptions!I83="Oui","Football",IF(Inscriptions!J83="Oui","Centre Loisirs",""))))</f>
        <v>Football</v>
      </c>
      <c r="F89" s="26">
        <f>IF(Inscriptions!B83="","",Inscriptions!N83)</f>
        <v>0</v>
      </c>
      <c r="G89" s="26" t="str">
        <f>IF(Inscriptions!B83="","",Inscriptions!O83)</f>
        <v>Partiel</v>
      </c>
      <c r="H89" s="26" t="str">
        <f ca="1">IF(Inscriptions!B83="","",IF(Inscriptions!S83="","—",Inscriptions!S83&amp;" j"))</f>
        <v>—</v>
      </c>
      <c r="I89" s="26" t="str">
        <f ca="1">IF(Inscriptions!B83="","",IF(Inscriptions!O83="Payé","✅ Confirmation",IF(AND(Inscriptions!S83&lt;&gt;"",Inscriptions!S83&gt;0),"🔴 Retard","🟡 Rappel")))</f>
        <v>🟡 Rappel</v>
      </c>
      <c r="J89" s="27" t="str">
        <f ca="1">IF(Inscriptions!B83="","",IF(Inscriptions!O83="Payé",SUBSTITUTE(SUBSTITUTE(SUBSTITUTE(SUBSTITUTE(C5,"{MONTANT}",TEXT(Inscriptions!N83,"#,##0")&amp;" MRU"),"{PRENOM}",Inscriptions!C83),"{NOM}",Inscriptions!B83),"{PRESTATION}",E89),IF(AND(Inscriptions!S83&lt;&gt;"",Inscriptions!S83&gt;0),SUBSTITUTE(SUBSTITUTE(SUBSTITUTE(SUBSTITUTE(C4,"{MONTANT}",TEXT(Inscriptions!N83,"#,##0")&amp;" MRU"),"{PRENOM}",Inscriptions!C83),"{NOM}",Inscriptions!B83),"{RETARD}",TEXT(Inscriptions!S83,"0")),SUBSTITUTE(SUBSTITUTE(SUBSTITUTE(SUBSTITUTE(SUBSTITUTE(C3,"{MONTANT}",TEXT(Inscriptions!N83,"#,##0")&amp;" MRU"),"{PRENOM}",Inscriptions!C83),"{NOM}",Inscriptions!B83),"{PRESTATION}",E89),"{DATE_LIMITE}",IF(Inscriptions!R83="","non définie",TEXT(Inscriptions!R83,"DD/MM/YYYY"))))))</f>
        <v>Bonjour, ceci est un rappel de la Fiveur Academy. Le paiement de ,0 MRU pour l'inscription de Souleymane CISSÉ (Football) est en attente. Date limite : non définie. Merci de régulariser. Cordialement, Fiveur Academy.</v>
      </c>
    </row>
    <row r="90" spans="1:10">
      <c r="A90" s="28">
        <f>IF(Inscriptions!B84="","",Inscriptions!A84)</f>
        <v>82</v>
      </c>
      <c r="B90" s="28" t="str">
        <f>IF(Inscriptions!B84="","",Inscriptions!B84)</f>
        <v>THIAM</v>
      </c>
      <c r="C90" s="28" t="str">
        <f>IF(Inscriptions!B84="","",Inscriptions!C84)</f>
        <v xml:space="preserve">Ely </v>
      </c>
      <c r="D90" s="28" t="str">
        <f>IF(Inscriptions!B84="","",Inscriptions!G84)</f>
        <v>+222 32 09 11 31</v>
      </c>
      <c r="E90" s="28" t="str">
        <f>IF(Inscriptions!B84="","",IF(AND(Inscriptions!I84="Oui",Inscriptions!J84="Oui"),"Football + Loisirs",IF(Inscriptions!I84="Oui","Football",IF(Inscriptions!J84="Oui","Centre Loisirs",""))))</f>
        <v>Football</v>
      </c>
      <c r="F90" s="28">
        <f>IF(Inscriptions!B84="","",Inscriptions!N84)</f>
        <v>1000</v>
      </c>
      <c r="G90" s="28" t="str">
        <f>IF(Inscriptions!B84="","",Inscriptions!O84)</f>
        <v>Partiel</v>
      </c>
      <c r="H90" s="28" t="str">
        <f ca="1">IF(Inscriptions!B84="","",IF(Inscriptions!S84="","—",Inscriptions!S84&amp;" j"))</f>
        <v>—</v>
      </c>
      <c r="I90" s="28" t="str">
        <f ca="1">IF(Inscriptions!B84="","",IF(Inscriptions!O84="Payé","✅ Confirmation",IF(AND(Inscriptions!S84&lt;&gt;"",Inscriptions!S84&gt;0),"🔴 Retard","🟡 Rappel")))</f>
        <v>🟡 Rappel</v>
      </c>
      <c r="J90" s="29" t="str">
        <f ca="1">IF(Inscriptions!B84="","",IF(Inscriptions!O84="Payé",SUBSTITUTE(SUBSTITUTE(SUBSTITUTE(SUBSTITUTE(C5,"{MONTANT}",TEXT(Inscriptions!N84,"#,##0")&amp;" MRU"),"{PRENOM}",Inscriptions!C84),"{NOM}",Inscriptions!B84),"{PRESTATION}",E90),IF(AND(Inscriptions!S84&lt;&gt;"",Inscriptions!S84&gt;0),SUBSTITUTE(SUBSTITUTE(SUBSTITUTE(SUBSTITUTE(C4,"{MONTANT}",TEXT(Inscriptions!N84,"#,##0")&amp;" MRU"),"{PRENOM}",Inscriptions!C84),"{NOM}",Inscriptions!B84),"{RETARD}",TEXT(Inscriptions!S84,"0")),SUBSTITUTE(SUBSTITUTE(SUBSTITUTE(SUBSTITUTE(SUBSTITUTE(C3,"{MONTANT}",TEXT(Inscriptions!N84,"#,##0")&amp;" MRU"),"{PRENOM}",Inscriptions!C84),"{NOM}",Inscriptions!B84),"{PRESTATION}",E90),"{DATE_LIMITE}",IF(Inscriptions!R84="","non définie",TEXT(Inscriptions!R84,"DD/MM/YYYY"))))))</f>
        <v>Bonjour, ceci est un rappel de la Fiveur Academy. Le paiement de 1000,0 MRU pour l'inscription de Ely  THIAM (Football) est en attente. Date limite : non définie. Merci de régulariser. Cordialement, Fiveur Academy.</v>
      </c>
    </row>
    <row r="91" spans="1:10">
      <c r="A91" s="26">
        <f>IF(Inscriptions!B85="","",Inscriptions!A85)</f>
        <v>83</v>
      </c>
      <c r="B91" s="26" t="str">
        <f>IF(Inscriptions!B85="","",Inscriptions!B85)</f>
        <v>SOKNA</v>
      </c>
      <c r="C91" s="26" t="str">
        <f>IF(Inscriptions!B85="","",Inscriptions!C85)</f>
        <v>Harouna</v>
      </c>
      <c r="D91" s="26" t="str">
        <f>IF(Inscriptions!B85="","",Inscriptions!G85)</f>
        <v>+222 44 69 25 75</v>
      </c>
      <c r="E91" s="26" t="str">
        <f>IF(Inscriptions!B85="","",IF(AND(Inscriptions!I85="Oui",Inscriptions!J85="Oui"),"Football + Loisirs",IF(Inscriptions!I85="Oui","Football",IF(Inscriptions!J85="Oui","Centre Loisirs",""))))</f>
        <v>Football</v>
      </c>
      <c r="F91" s="26">
        <f>IF(Inscriptions!B85="","",Inscriptions!N85)</f>
        <v>1000</v>
      </c>
      <c r="G91" s="26" t="str">
        <f>IF(Inscriptions!B85="","",Inscriptions!O85)</f>
        <v>Partiel</v>
      </c>
      <c r="H91" s="26" t="str">
        <f ca="1">IF(Inscriptions!B85="","",IF(Inscriptions!S85="","—",Inscriptions!S85&amp;" j"))</f>
        <v>—</v>
      </c>
      <c r="I91" s="26" t="str">
        <f ca="1">IF(Inscriptions!B85="","",IF(Inscriptions!O85="Payé","✅ Confirmation",IF(AND(Inscriptions!S85&lt;&gt;"",Inscriptions!S85&gt;0),"🔴 Retard","🟡 Rappel")))</f>
        <v>🟡 Rappel</v>
      </c>
      <c r="J91" s="27" t="str">
        <f ca="1">IF(Inscriptions!B85="","",IF(Inscriptions!O85="Payé",SUBSTITUTE(SUBSTITUTE(SUBSTITUTE(SUBSTITUTE(C5,"{MONTANT}",TEXT(Inscriptions!N85,"#,##0")&amp;" MRU"),"{PRENOM}",Inscriptions!C85),"{NOM}",Inscriptions!B85),"{PRESTATION}",E91),IF(AND(Inscriptions!S85&lt;&gt;"",Inscriptions!S85&gt;0),SUBSTITUTE(SUBSTITUTE(SUBSTITUTE(SUBSTITUTE(C4,"{MONTANT}",TEXT(Inscriptions!N85,"#,##0")&amp;" MRU"),"{PRENOM}",Inscriptions!C85),"{NOM}",Inscriptions!B85),"{RETARD}",TEXT(Inscriptions!S85,"0")),SUBSTITUTE(SUBSTITUTE(SUBSTITUTE(SUBSTITUTE(SUBSTITUTE(C3,"{MONTANT}",TEXT(Inscriptions!N85,"#,##0")&amp;" MRU"),"{PRENOM}",Inscriptions!C85),"{NOM}",Inscriptions!B85),"{PRESTATION}",E91),"{DATE_LIMITE}",IF(Inscriptions!R85="","non définie",TEXT(Inscriptions!R85,"DD/MM/YYYY"))))))</f>
        <v>Bonjour, ceci est un rappel de la Fiveur Academy. Le paiement de 1000,0 MRU pour l'inscription de Harouna SOKNA (Football) est en attente. Date limite : non définie. Merci de régulariser. Cordialement, Fiveur Academy.</v>
      </c>
    </row>
    <row r="92" spans="1:10">
      <c r="A92" s="28">
        <f>IF(Inscriptions!B86="","",Inscriptions!A86)</f>
        <v>84</v>
      </c>
      <c r="B92" s="28" t="str">
        <f>IF(Inscriptions!B86="","",Inscriptions!B86)</f>
        <v>WANE</v>
      </c>
      <c r="C92" s="28" t="str">
        <f>IF(Inscriptions!B86="","",Inscriptions!C86)</f>
        <v>Ibrahima</v>
      </c>
      <c r="D92" s="28" t="str">
        <f>IF(Inscriptions!B86="","",Inscriptions!G86)</f>
        <v>+222 32 09 11 31</v>
      </c>
      <c r="E92" s="28" t="str">
        <f>IF(Inscriptions!B86="","",IF(AND(Inscriptions!I86="Oui",Inscriptions!J86="Oui"),"Football + Loisirs",IF(Inscriptions!I86="Oui","Football",IF(Inscriptions!J86="Oui","Centre Loisirs",""))))</f>
        <v>Football</v>
      </c>
      <c r="F92" s="28">
        <f>IF(Inscriptions!B86="","",Inscriptions!N86)</f>
        <v>1000</v>
      </c>
      <c r="G92" s="28" t="str">
        <f>IF(Inscriptions!B86="","",Inscriptions!O86)</f>
        <v>Partiel</v>
      </c>
      <c r="H92" s="28" t="str">
        <f ca="1">IF(Inscriptions!B86="","",IF(Inscriptions!S86="","—",Inscriptions!S86&amp;" j"))</f>
        <v>—</v>
      </c>
      <c r="I92" s="28" t="str">
        <f ca="1">IF(Inscriptions!B86="","",IF(Inscriptions!O86="Payé","✅ Confirmation",IF(AND(Inscriptions!S86&lt;&gt;"",Inscriptions!S86&gt;0),"🔴 Retard","🟡 Rappel")))</f>
        <v>🟡 Rappel</v>
      </c>
      <c r="J92" s="29" t="str">
        <f ca="1">IF(Inscriptions!B86="","",IF(Inscriptions!O86="Payé",SUBSTITUTE(SUBSTITUTE(SUBSTITUTE(SUBSTITUTE(C5,"{MONTANT}",TEXT(Inscriptions!N86,"#,##0")&amp;" MRU"),"{PRENOM}",Inscriptions!C86),"{NOM}",Inscriptions!B86),"{PRESTATION}",E92),IF(AND(Inscriptions!S86&lt;&gt;"",Inscriptions!S86&gt;0),SUBSTITUTE(SUBSTITUTE(SUBSTITUTE(SUBSTITUTE(C4,"{MONTANT}",TEXT(Inscriptions!N86,"#,##0")&amp;" MRU"),"{PRENOM}",Inscriptions!C86),"{NOM}",Inscriptions!B86),"{RETARD}",TEXT(Inscriptions!S86,"0")),SUBSTITUTE(SUBSTITUTE(SUBSTITUTE(SUBSTITUTE(SUBSTITUTE(C3,"{MONTANT}",TEXT(Inscriptions!N86,"#,##0")&amp;" MRU"),"{PRENOM}",Inscriptions!C86),"{NOM}",Inscriptions!B86),"{PRESTATION}",E92),"{DATE_LIMITE}",IF(Inscriptions!R86="","non définie",TEXT(Inscriptions!R86,"DD/MM/YYYY"))))))</f>
        <v>Bonjour, ceci est un rappel de la Fiveur Academy. Le paiement de 1000,0 MRU pour l'inscription de Ibrahima WANE (Football) est en attente. Date limite : non définie. Merci de régulariser. Cordialement, Fiveur Academy.</v>
      </c>
    </row>
    <row r="93" spans="1:10">
      <c r="A93" s="26">
        <f>IF(Inscriptions!B87="","",Inscriptions!A87)</f>
        <v>85</v>
      </c>
      <c r="B93" s="26" t="str">
        <f>IF(Inscriptions!B87="","",Inscriptions!B87)</f>
        <v>FANE</v>
      </c>
      <c r="C93" s="26" t="str">
        <f>IF(Inscriptions!B87="","",Inscriptions!C87)</f>
        <v>Ely</v>
      </c>
      <c r="D93" s="26" t="str">
        <f>IF(Inscriptions!B87="","",Inscriptions!G87)</f>
        <v>+222 32 09 11 31</v>
      </c>
      <c r="E93" s="26" t="str">
        <f>IF(Inscriptions!B87="","",IF(AND(Inscriptions!I87="Oui",Inscriptions!J87="Oui"),"Football + Loisirs",IF(Inscriptions!I87="Oui","Football",IF(Inscriptions!J87="Oui","Centre Loisirs",""))))</f>
        <v>Football</v>
      </c>
      <c r="F93" s="26">
        <f>IF(Inscriptions!B87="","",Inscriptions!N87)</f>
        <v>1000</v>
      </c>
      <c r="G93" s="26" t="str">
        <f>IF(Inscriptions!B87="","",Inscriptions!O87)</f>
        <v>Partiel</v>
      </c>
      <c r="H93" s="26" t="str">
        <f ca="1">IF(Inscriptions!B87="","",IF(Inscriptions!S87="","—",Inscriptions!S87&amp;" j"))</f>
        <v>—</v>
      </c>
      <c r="I93" s="26" t="str">
        <f ca="1">IF(Inscriptions!B87="","",IF(Inscriptions!O87="Payé","✅ Confirmation",IF(AND(Inscriptions!S87&lt;&gt;"",Inscriptions!S87&gt;0),"🔴 Retard","🟡 Rappel")))</f>
        <v>🟡 Rappel</v>
      </c>
      <c r="J93" s="27" t="str">
        <f ca="1">IF(Inscriptions!B87="","",IF(Inscriptions!O87="Payé",SUBSTITUTE(SUBSTITUTE(SUBSTITUTE(SUBSTITUTE(C5,"{MONTANT}",TEXT(Inscriptions!N87,"#,##0")&amp;" MRU"),"{PRENOM}",Inscriptions!C87),"{NOM}",Inscriptions!B87),"{PRESTATION}",E93),IF(AND(Inscriptions!S87&lt;&gt;"",Inscriptions!S87&gt;0),SUBSTITUTE(SUBSTITUTE(SUBSTITUTE(SUBSTITUTE(C4,"{MONTANT}",TEXT(Inscriptions!N87,"#,##0")&amp;" MRU"),"{PRENOM}",Inscriptions!C87),"{NOM}",Inscriptions!B87),"{RETARD}",TEXT(Inscriptions!S87,"0")),SUBSTITUTE(SUBSTITUTE(SUBSTITUTE(SUBSTITUTE(SUBSTITUTE(C3,"{MONTANT}",TEXT(Inscriptions!N87,"#,##0")&amp;" MRU"),"{PRENOM}",Inscriptions!C87),"{NOM}",Inscriptions!B87),"{PRESTATION}",E93),"{DATE_LIMITE}",IF(Inscriptions!R87="","non définie",TEXT(Inscriptions!R87,"DD/MM/YYYY"))))))</f>
        <v>Bonjour, ceci est un rappel de la Fiveur Academy. Le paiement de 1000,0 MRU pour l'inscription de Ely FANE (Football) est en attente. Date limite : non définie. Merci de régulariser. Cordialement, Fiveur Academy.</v>
      </c>
    </row>
    <row r="94" spans="1:10">
      <c r="A94" s="28">
        <f>IF(Inscriptions!B88="","",Inscriptions!A88)</f>
        <v>86</v>
      </c>
      <c r="B94" s="28" t="str">
        <f>IF(Inscriptions!B88="","",Inscriptions!B88)</f>
        <v>KOITA</v>
      </c>
      <c r="C94" s="28" t="str">
        <f>IF(Inscriptions!B88="","",Inscriptions!C88)</f>
        <v>Mohamed</v>
      </c>
      <c r="D94" s="28" t="str">
        <f>IF(Inscriptions!B88="","",Inscriptions!G88)</f>
        <v>+222 49 44 09 04</v>
      </c>
      <c r="E94" s="28" t="str">
        <f>IF(Inscriptions!B88="","",IF(AND(Inscriptions!I88="Oui",Inscriptions!J88="Oui"),"Football + Loisirs",IF(Inscriptions!I88="Oui","Football",IF(Inscriptions!J88="Oui","Centre Loisirs",""))))</f>
        <v>Football</v>
      </c>
      <c r="F94" s="28">
        <f>IF(Inscriptions!B88="","",Inscriptions!N88)</f>
        <v>1500</v>
      </c>
      <c r="G94" s="28" t="str">
        <f>IF(Inscriptions!B88="","",Inscriptions!O88)</f>
        <v>Payé</v>
      </c>
      <c r="H94" s="28" t="str">
        <f ca="1">IF(Inscriptions!B88="","",IF(Inscriptions!S88="","—",Inscriptions!S88&amp;" j"))</f>
        <v>—</v>
      </c>
      <c r="I94" s="28" t="str">
        <f>IF(Inscriptions!B88="","",IF(Inscriptions!O88="Payé","✅ Confirmation",IF(AND(Inscriptions!S88&lt;&gt;"",Inscriptions!S88&gt;0),"🔴 Retard","🟡 Rappel")))</f>
        <v>✅ Confirmation</v>
      </c>
      <c r="J94" s="29" t="str">
        <f>IF(Inscriptions!B88="","",IF(Inscriptions!O88="Payé",SUBSTITUTE(SUBSTITUTE(SUBSTITUTE(SUBSTITUTE(C5,"{MONTANT}",TEXT(Inscriptions!N88,"#,##0")&amp;" MRU"),"{PRENOM}",Inscriptions!C88),"{NOM}",Inscriptions!B88),"{PRESTATION}",E94),IF(AND(Inscriptions!S88&lt;&gt;"",Inscriptions!S88&gt;0),SUBSTITUTE(SUBSTITUTE(SUBSTITUTE(SUBSTITUTE(C4,"{MONTANT}",TEXT(Inscriptions!N88,"#,##0")&amp;" MRU"),"{PRENOM}",Inscriptions!C88),"{NOM}",Inscriptions!B88),"{RETARD}",TEXT(Inscriptions!S88,"0")),SUBSTITUTE(SUBSTITUTE(SUBSTITUTE(SUBSTITUTE(SUBSTITUTE(C3,"{MONTANT}",TEXT(Inscriptions!N88,"#,##0")&amp;" MRU"),"{PRENOM}",Inscriptions!C88),"{NOM}",Inscriptions!B88),"{PRESTATION}",E94),"{DATE_LIMITE}",IF(Inscriptions!R88="","non définie",TEXT(Inscriptions!R88,"DD/MM/YYYY"))))))</f>
        <v>✅ Bonjour, la Fiveur Academy confirme la réception du paiement de 1500,0 MRU pour Mohamed KOITA. Inscription validée pour : Football. Merci de votre confiance ! ⚽ Fiveur Academy — Since 2023.</v>
      </c>
    </row>
    <row r="95" spans="1:10">
      <c r="A95" s="26">
        <f>IF(Inscriptions!B89="","",Inscriptions!A89)</f>
        <v>87</v>
      </c>
      <c r="B95" s="26" t="str">
        <f>IF(Inscriptions!B89="","",Inscriptions!B89)</f>
        <v>CAMARA</v>
      </c>
      <c r="C95" s="26" t="str">
        <f>IF(Inscriptions!B89="","",Inscriptions!C89)</f>
        <v>Abdallah</v>
      </c>
      <c r="D95" s="26" t="str">
        <f>IF(Inscriptions!B89="","",Inscriptions!G89)</f>
        <v>+222 41 32 30 91</v>
      </c>
      <c r="E95" s="26" t="str">
        <f>IF(Inscriptions!B89="","",IF(AND(Inscriptions!I89="Oui",Inscriptions!J89="Oui"),"Football + Loisirs",IF(Inscriptions!I89="Oui","Football",IF(Inscriptions!J89="Oui","Centre Loisirs",""))))</f>
        <v>Football</v>
      </c>
      <c r="F95" s="26">
        <f>IF(Inscriptions!B89="","",Inscriptions!N89)</f>
        <v>0</v>
      </c>
      <c r="G95" s="26" t="str">
        <f>IF(Inscriptions!B89="","",Inscriptions!O89)</f>
        <v>En attente</v>
      </c>
      <c r="H95" s="26" t="str">
        <f ca="1">IF(Inscriptions!B89="","",IF(Inscriptions!S89="","—",Inscriptions!S89&amp;" j"))</f>
        <v>—</v>
      </c>
      <c r="I95" s="26" t="str">
        <f ca="1">IF(Inscriptions!B89="","",IF(Inscriptions!O89="Payé","✅ Confirmation",IF(AND(Inscriptions!S89&lt;&gt;"",Inscriptions!S89&gt;0),"🔴 Retard","🟡 Rappel")))</f>
        <v>🟡 Rappel</v>
      </c>
      <c r="J95" s="27" t="str">
        <f ca="1">IF(Inscriptions!B89="","",IF(Inscriptions!O89="Payé",SUBSTITUTE(SUBSTITUTE(SUBSTITUTE(SUBSTITUTE(C5,"{MONTANT}",TEXT(Inscriptions!N89,"#,##0")&amp;" MRU"),"{PRENOM}",Inscriptions!C89),"{NOM}",Inscriptions!B89),"{PRESTATION}",E95),IF(AND(Inscriptions!S89&lt;&gt;"",Inscriptions!S89&gt;0),SUBSTITUTE(SUBSTITUTE(SUBSTITUTE(SUBSTITUTE(C4,"{MONTANT}",TEXT(Inscriptions!N89,"#,##0")&amp;" MRU"),"{PRENOM}",Inscriptions!C89),"{NOM}",Inscriptions!B89),"{RETARD}",TEXT(Inscriptions!S89,"0")),SUBSTITUTE(SUBSTITUTE(SUBSTITUTE(SUBSTITUTE(SUBSTITUTE(C3,"{MONTANT}",TEXT(Inscriptions!N89,"#,##0")&amp;" MRU"),"{PRENOM}",Inscriptions!C89),"{NOM}",Inscriptions!B89),"{PRESTATION}",E95),"{DATE_LIMITE}",IF(Inscriptions!R89="","non définie",TEXT(Inscriptions!R89,"DD/MM/YYYY"))))))</f>
        <v>Bonjour, ceci est un rappel de la Fiveur Academy. Le paiement de ,0 MRU pour l'inscription de Abdallah CAMARA (Football) est en attente. Date limite : non définie. Merci de régulariser. Cordialement, Fiveur Academy.</v>
      </c>
    </row>
    <row r="96" spans="1:10">
      <c r="A96" s="28">
        <f>IF(Inscriptions!B90="","",Inscriptions!A90)</f>
        <v>88</v>
      </c>
      <c r="B96" s="28" t="str">
        <f>IF(Inscriptions!B90="","",Inscriptions!B90)</f>
        <v>CABIT</v>
      </c>
      <c r="C96" s="28" t="str">
        <f>IF(Inscriptions!B90="","",Inscriptions!C90)</f>
        <v>Zakaria</v>
      </c>
      <c r="D96" s="28" t="str">
        <f>IF(Inscriptions!B90="","",Inscriptions!G90)</f>
        <v>+222 42 07 96 50</v>
      </c>
      <c r="E96" s="28" t="str">
        <f>IF(Inscriptions!B90="","",IF(AND(Inscriptions!I90="Oui",Inscriptions!J90="Oui"),"Football + Loisirs",IF(Inscriptions!I90="Oui","Football",IF(Inscriptions!J90="Oui","Centre Loisirs",""))))</f>
        <v>Football</v>
      </c>
      <c r="F96" s="28">
        <f>IF(Inscriptions!B90="","",Inscriptions!N90)</f>
        <v>3500</v>
      </c>
      <c r="G96" s="28" t="str">
        <f>IF(Inscriptions!B90="","",Inscriptions!O90)</f>
        <v>Payé</v>
      </c>
      <c r="H96" s="28" t="str">
        <f ca="1">IF(Inscriptions!B90="","",IF(Inscriptions!S90="","—",Inscriptions!S90&amp;" j"))</f>
        <v>—</v>
      </c>
      <c r="I96" s="28" t="str">
        <f>IF(Inscriptions!B90="","",IF(Inscriptions!O90="Payé","✅ Confirmation",IF(AND(Inscriptions!S90&lt;&gt;"",Inscriptions!S90&gt;0),"🔴 Retard","🟡 Rappel")))</f>
        <v>✅ Confirmation</v>
      </c>
      <c r="J96" s="29" t="str">
        <f>IF(Inscriptions!B90="","",IF(Inscriptions!O90="Payé",SUBSTITUTE(SUBSTITUTE(SUBSTITUTE(SUBSTITUTE(C5,"{MONTANT}",TEXT(Inscriptions!N90,"#,##0")&amp;" MRU"),"{PRENOM}",Inscriptions!C90),"{NOM}",Inscriptions!B90),"{PRESTATION}",E96),IF(AND(Inscriptions!S90&lt;&gt;"",Inscriptions!S90&gt;0),SUBSTITUTE(SUBSTITUTE(SUBSTITUTE(SUBSTITUTE(C4,"{MONTANT}",TEXT(Inscriptions!N90,"#,##0")&amp;" MRU"),"{PRENOM}",Inscriptions!C90),"{NOM}",Inscriptions!B90),"{RETARD}",TEXT(Inscriptions!S90,"0")),SUBSTITUTE(SUBSTITUTE(SUBSTITUTE(SUBSTITUTE(SUBSTITUTE(C3,"{MONTANT}",TEXT(Inscriptions!N90,"#,##0")&amp;" MRU"),"{PRENOM}",Inscriptions!C90),"{NOM}",Inscriptions!B90),"{PRESTATION}",E96),"{DATE_LIMITE}",IF(Inscriptions!R90="","non définie",TEXT(Inscriptions!R90,"DD/MM/YYYY"))))))</f>
        <v>✅ Bonjour, la Fiveur Academy confirme la réception du paiement de 3500,0 MRU pour Zakaria CABIT. Inscription validée pour : Football. Merci de votre confiance ! ⚽ Fiveur Academy — Since 2023.</v>
      </c>
    </row>
    <row r="97" spans="1:10">
      <c r="A97" s="26">
        <f>IF(Inscriptions!B91="","",Inscriptions!A91)</f>
        <v>89</v>
      </c>
      <c r="B97" s="26" t="str">
        <f>IF(Inscriptions!B91="","",Inscriptions!B91)</f>
        <v>CABIT</v>
      </c>
      <c r="C97" s="26" t="str">
        <f>IF(Inscriptions!B91="","",Inscriptions!C91)</f>
        <v>Djody</v>
      </c>
      <c r="D97" s="26" t="str">
        <f>IF(Inscriptions!B91="","",Inscriptions!G91)</f>
        <v>+222 42 07 96 50</v>
      </c>
      <c r="E97" s="26" t="str">
        <f>IF(Inscriptions!B91="","",IF(AND(Inscriptions!I91="Oui",Inscriptions!J91="Oui"),"Football + Loisirs",IF(Inscriptions!I91="Oui","Football",IF(Inscriptions!J91="Oui","Centre Loisirs",""))))</f>
        <v>Football</v>
      </c>
      <c r="F97" s="26">
        <f>IF(Inscriptions!B91="","",Inscriptions!N91)</f>
        <v>3500</v>
      </c>
      <c r="G97" s="26" t="str">
        <f>IF(Inscriptions!B91="","",Inscriptions!O91)</f>
        <v>Payé</v>
      </c>
      <c r="H97" s="26" t="str">
        <f ca="1">IF(Inscriptions!B91="","",IF(Inscriptions!S91="","—",Inscriptions!S91&amp;" j"))</f>
        <v>—</v>
      </c>
      <c r="I97" s="26" t="str">
        <f>IF(Inscriptions!B91="","",IF(Inscriptions!O91="Payé","✅ Confirmation",IF(AND(Inscriptions!S91&lt;&gt;"",Inscriptions!S91&gt;0),"🔴 Retard","🟡 Rappel")))</f>
        <v>✅ Confirmation</v>
      </c>
      <c r="J97" s="27" t="str">
        <f>IF(Inscriptions!B91="","",IF(Inscriptions!O91="Payé",SUBSTITUTE(SUBSTITUTE(SUBSTITUTE(SUBSTITUTE(C5,"{MONTANT}",TEXT(Inscriptions!N91,"#,##0")&amp;" MRU"),"{PRENOM}",Inscriptions!C91),"{NOM}",Inscriptions!B91),"{PRESTATION}",E97),IF(AND(Inscriptions!S91&lt;&gt;"",Inscriptions!S91&gt;0),SUBSTITUTE(SUBSTITUTE(SUBSTITUTE(SUBSTITUTE(C4,"{MONTANT}",TEXT(Inscriptions!N91,"#,##0")&amp;" MRU"),"{PRENOM}",Inscriptions!C91),"{NOM}",Inscriptions!B91),"{RETARD}",TEXT(Inscriptions!S91,"0")),SUBSTITUTE(SUBSTITUTE(SUBSTITUTE(SUBSTITUTE(SUBSTITUTE(C3,"{MONTANT}",TEXT(Inscriptions!N91,"#,##0")&amp;" MRU"),"{PRENOM}",Inscriptions!C91),"{NOM}",Inscriptions!B91),"{PRESTATION}",E97),"{DATE_LIMITE}",IF(Inscriptions!R91="","non définie",TEXT(Inscriptions!R91,"DD/MM/YYYY"))))))</f>
        <v>✅ Bonjour, la Fiveur Academy confirme la réception du paiement de 3500,0 MRU pour Djody CABIT. Inscription validée pour : Football. Merci de votre confiance ! ⚽ Fiveur Academy — Since 2023.</v>
      </c>
    </row>
    <row r="98" spans="1:10">
      <c r="A98" s="28">
        <f>IF(Inscriptions!B92="","",Inscriptions!A92)</f>
        <v>90</v>
      </c>
      <c r="B98" s="28" t="str">
        <f>IF(Inscriptions!B92="","",Inscriptions!B92)</f>
        <v>FOFANA</v>
      </c>
      <c r="C98" s="28" t="str">
        <f>IF(Inscriptions!B92="","",Inscriptions!C92)</f>
        <v>Alassane</v>
      </c>
      <c r="D98" s="28" t="str">
        <f>IF(Inscriptions!B92="","",Inscriptions!G92)</f>
        <v>+222 46 76 18 94</v>
      </c>
      <c r="E98" s="28" t="str">
        <f>IF(Inscriptions!B92="","",IF(AND(Inscriptions!I92="Oui",Inscriptions!J92="Oui"),"Football + Loisirs",IF(Inscriptions!I92="Oui","Football",IF(Inscriptions!J92="Oui","Centre Loisirs",""))))</f>
        <v>Football</v>
      </c>
      <c r="F98" s="28">
        <f>IF(Inscriptions!B92="","",Inscriptions!N92)</f>
        <v>1500</v>
      </c>
      <c r="G98" s="28" t="str">
        <f>IF(Inscriptions!B92="","",Inscriptions!O92)</f>
        <v>Payé</v>
      </c>
      <c r="H98" s="28" t="str">
        <f ca="1">IF(Inscriptions!B92="","",IF(Inscriptions!S92="","—",Inscriptions!S92&amp;" j"))</f>
        <v>—</v>
      </c>
      <c r="I98" s="28" t="str">
        <f>IF(Inscriptions!B92="","",IF(Inscriptions!O92="Payé","✅ Confirmation",IF(AND(Inscriptions!S92&lt;&gt;"",Inscriptions!S92&gt;0),"🔴 Retard","🟡 Rappel")))</f>
        <v>✅ Confirmation</v>
      </c>
      <c r="J98" s="29" t="str">
        <f>IF(Inscriptions!B92="","",IF(Inscriptions!O92="Payé",SUBSTITUTE(SUBSTITUTE(SUBSTITUTE(SUBSTITUTE(C5,"{MONTANT}",TEXT(Inscriptions!N92,"#,##0")&amp;" MRU"),"{PRENOM}",Inscriptions!C92),"{NOM}",Inscriptions!B92),"{PRESTATION}",E98),IF(AND(Inscriptions!S92&lt;&gt;"",Inscriptions!S92&gt;0),SUBSTITUTE(SUBSTITUTE(SUBSTITUTE(SUBSTITUTE(C4,"{MONTANT}",TEXT(Inscriptions!N92,"#,##0")&amp;" MRU"),"{PRENOM}",Inscriptions!C92),"{NOM}",Inscriptions!B92),"{RETARD}",TEXT(Inscriptions!S92,"0")),SUBSTITUTE(SUBSTITUTE(SUBSTITUTE(SUBSTITUTE(SUBSTITUTE(C3,"{MONTANT}",TEXT(Inscriptions!N92,"#,##0")&amp;" MRU"),"{PRENOM}",Inscriptions!C92),"{NOM}",Inscriptions!B92),"{PRESTATION}",E98),"{DATE_LIMITE}",IF(Inscriptions!R92="","non définie",TEXT(Inscriptions!R92,"DD/MM/YYYY"))))))</f>
        <v>✅ Bonjour, la Fiveur Academy confirme la réception du paiement de 1500,0 MRU pour Alassane FOFANA. Inscription validée pour : Football. Merci de votre confiance ! ⚽ Fiveur Academy — Since 2023.</v>
      </c>
    </row>
    <row r="99" spans="1:10">
      <c r="A99" s="26">
        <f>IF(Inscriptions!B93="","",Inscriptions!A93)</f>
        <v>91</v>
      </c>
      <c r="B99" s="26" t="str">
        <f>IF(Inscriptions!B93="","",Inscriptions!B93)</f>
        <v>FOFANA</v>
      </c>
      <c r="C99" s="26" t="str">
        <f>IF(Inscriptions!B93="","",Inscriptions!C93)</f>
        <v>Amadou</v>
      </c>
      <c r="D99" s="26" t="str">
        <f>IF(Inscriptions!B93="","",Inscriptions!G93)</f>
        <v>+222 46 76 18 94</v>
      </c>
      <c r="E99" s="26" t="str">
        <f>IF(Inscriptions!B93="","",IF(AND(Inscriptions!I93="Oui",Inscriptions!J93="Oui"),"Football + Loisirs",IF(Inscriptions!I93="Oui","Football",IF(Inscriptions!J93="Oui","Centre Loisirs",""))))</f>
        <v>Football</v>
      </c>
      <c r="F99" s="26">
        <f>IF(Inscriptions!B93="","",Inscriptions!N93)</f>
        <v>1500</v>
      </c>
      <c r="G99" s="26" t="str">
        <f>IF(Inscriptions!B93="","",Inscriptions!O93)</f>
        <v>Payé</v>
      </c>
      <c r="H99" s="26" t="str">
        <f ca="1">IF(Inscriptions!B93="","",IF(Inscriptions!S93="","—",Inscriptions!S93&amp;" j"))</f>
        <v>—</v>
      </c>
      <c r="I99" s="26" t="str">
        <f>IF(Inscriptions!B93="","",IF(Inscriptions!O93="Payé","✅ Confirmation",IF(AND(Inscriptions!S93&lt;&gt;"",Inscriptions!S93&gt;0),"🔴 Retard","🟡 Rappel")))</f>
        <v>✅ Confirmation</v>
      </c>
      <c r="J99" s="27" t="str">
        <f>IF(Inscriptions!B93="","",IF(Inscriptions!O93="Payé",SUBSTITUTE(SUBSTITUTE(SUBSTITUTE(SUBSTITUTE(C5,"{MONTANT}",TEXT(Inscriptions!N93,"#,##0")&amp;" MRU"),"{PRENOM}",Inscriptions!C93),"{NOM}",Inscriptions!B93),"{PRESTATION}",E99),IF(AND(Inscriptions!S93&lt;&gt;"",Inscriptions!S93&gt;0),SUBSTITUTE(SUBSTITUTE(SUBSTITUTE(SUBSTITUTE(C4,"{MONTANT}",TEXT(Inscriptions!N93,"#,##0")&amp;" MRU"),"{PRENOM}",Inscriptions!C93),"{NOM}",Inscriptions!B93),"{RETARD}",TEXT(Inscriptions!S93,"0")),SUBSTITUTE(SUBSTITUTE(SUBSTITUTE(SUBSTITUTE(SUBSTITUTE(C3,"{MONTANT}",TEXT(Inscriptions!N93,"#,##0")&amp;" MRU"),"{PRENOM}",Inscriptions!C93),"{NOM}",Inscriptions!B93),"{PRESTATION}",E99),"{DATE_LIMITE}",IF(Inscriptions!R93="","non définie",TEXT(Inscriptions!R93,"DD/MM/YYYY"))))))</f>
        <v>✅ Bonjour, la Fiveur Academy confirme la réception du paiement de 1500,0 MRU pour Amadou FOFANA. Inscription validée pour : Football. Merci de votre confiance ! ⚽ Fiveur Academy — Since 2023.</v>
      </c>
    </row>
    <row r="100" spans="1:10">
      <c r="A100" s="28">
        <f>IF(Inscriptions!B94="","",Inscriptions!A94)</f>
        <v>92</v>
      </c>
      <c r="B100" s="28" t="str">
        <f>IF(Inscriptions!B94="","",Inscriptions!B94)</f>
        <v>DIAGNE</v>
      </c>
      <c r="C100" s="28" t="str">
        <f>IF(Inscriptions!B94="","",Inscriptions!C94)</f>
        <v>Alioune</v>
      </c>
      <c r="D100" s="28" t="str">
        <f>IF(Inscriptions!B94="","",Inscriptions!G94)</f>
        <v>+222 26 43 64 82</v>
      </c>
      <c r="E100" s="28" t="str">
        <f>IF(Inscriptions!B94="","",IF(AND(Inscriptions!I94="Oui",Inscriptions!J94="Oui"),"Football + Loisirs",IF(Inscriptions!I94="Oui","Football",IF(Inscriptions!J94="Oui","Centre Loisirs",""))))</f>
        <v>Football</v>
      </c>
      <c r="F100" s="28">
        <f>IF(Inscriptions!B94="","",Inscriptions!N94)</f>
        <v>1000</v>
      </c>
      <c r="G100" s="28" t="str">
        <f>IF(Inscriptions!B94="","",Inscriptions!O94)</f>
        <v>Partiel</v>
      </c>
      <c r="H100" s="28" t="str">
        <f ca="1">IF(Inscriptions!B94="","",IF(Inscriptions!S94="","—",Inscriptions!S94&amp;" j"))</f>
        <v>—</v>
      </c>
      <c r="I100" s="28" t="str">
        <f ca="1">IF(Inscriptions!B94="","",IF(Inscriptions!O94="Payé","✅ Confirmation",IF(AND(Inscriptions!S94&lt;&gt;"",Inscriptions!S94&gt;0),"🔴 Retard","🟡 Rappel")))</f>
        <v>🟡 Rappel</v>
      </c>
      <c r="J100" s="29" t="str">
        <f ca="1">IF(Inscriptions!B94="","",IF(Inscriptions!O94="Payé",SUBSTITUTE(SUBSTITUTE(SUBSTITUTE(SUBSTITUTE(C5,"{MONTANT}",TEXT(Inscriptions!N94,"#,##0")&amp;" MRU"),"{PRENOM}",Inscriptions!C94),"{NOM}",Inscriptions!B94),"{PRESTATION}",E100),IF(AND(Inscriptions!S94&lt;&gt;"",Inscriptions!S94&gt;0),SUBSTITUTE(SUBSTITUTE(SUBSTITUTE(SUBSTITUTE(C4,"{MONTANT}",TEXT(Inscriptions!N94,"#,##0")&amp;" MRU"),"{PRENOM}",Inscriptions!C94),"{NOM}",Inscriptions!B94),"{RETARD}",TEXT(Inscriptions!S94,"0")),SUBSTITUTE(SUBSTITUTE(SUBSTITUTE(SUBSTITUTE(SUBSTITUTE(C3,"{MONTANT}",TEXT(Inscriptions!N94,"#,##0")&amp;" MRU"),"{PRENOM}",Inscriptions!C94),"{NOM}",Inscriptions!B94),"{PRESTATION}",E100),"{DATE_LIMITE}",IF(Inscriptions!R94="","non définie",TEXT(Inscriptions!R94,"DD/MM/YYYY"))))))</f>
        <v>Bonjour, ceci est un rappel de la Fiveur Academy. Le paiement de 1000,0 MRU pour l'inscription de Alioune DIAGNE (Football) est en attente. Date limite : non définie. Merci de régulariser. Cordialement, Fiveur Academy.</v>
      </c>
    </row>
    <row r="101" spans="1:10">
      <c r="A101" s="26">
        <f>IF(Inscriptions!B95="","",Inscriptions!A95)</f>
        <v>93</v>
      </c>
      <c r="B101" s="26" t="str">
        <f>IF(Inscriptions!B95="","",Inscriptions!B95)</f>
        <v>N'DAW</v>
      </c>
      <c r="C101" s="26" t="str">
        <f>IF(Inscriptions!B95="","",Inscriptions!C95)</f>
        <v>Ciré</v>
      </c>
      <c r="D101" s="26" t="str">
        <f>IF(Inscriptions!B95="","",Inscriptions!G95)</f>
        <v>+222 22 16 54 72</v>
      </c>
      <c r="E101" s="26" t="str">
        <f>IF(Inscriptions!B95="","",IF(AND(Inscriptions!I95="Oui",Inscriptions!J95="Oui"),"Football + Loisirs",IF(Inscriptions!I95="Oui","Football",IF(Inscriptions!J95="Oui","Centre Loisirs",""))))</f>
        <v>Football</v>
      </c>
      <c r="F101" s="26">
        <f>IF(Inscriptions!B95="","",Inscriptions!N95)</f>
        <v>1500</v>
      </c>
      <c r="G101" s="26" t="str">
        <f>IF(Inscriptions!B95="","",Inscriptions!O95)</f>
        <v>Payé</v>
      </c>
      <c r="H101" s="26" t="str">
        <f ca="1">IF(Inscriptions!B95="","",IF(Inscriptions!S95="","—",Inscriptions!S95&amp;" j"))</f>
        <v>—</v>
      </c>
      <c r="I101" s="26" t="str">
        <f>IF(Inscriptions!B95="","",IF(Inscriptions!O95="Payé","✅ Confirmation",IF(AND(Inscriptions!S95&lt;&gt;"",Inscriptions!S95&gt;0),"🔴 Retard","🟡 Rappel")))</f>
        <v>✅ Confirmation</v>
      </c>
      <c r="J101" s="27" t="str">
        <f>IF(Inscriptions!B95="","",IF(Inscriptions!O95="Payé",SUBSTITUTE(SUBSTITUTE(SUBSTITUTE(SUBSTITUTE(C5,"{MONTANT}",TEXT(Inscriptions!N95,"#,##0")&amp;" MRU"),"{PRENOM}",Inscriptions!C95),"{NOM}",Inscriptions!B95),"{PRESTATION}",E101),IF(AND(Inscriptions!S95&lt;&gt;"",Inscriptions!S95&gt;0),SUBSTITUTE(SUBSTITUTE(SUBSTITUTE(SUBSTITUTE(C4,"{MONTANT}",TEXT(Inscriptions!N95,"#,##0")&amp;" MRU"),"{PRENOM}",Inscriptions!C95),"{NOM}",Inscriptions!B95),"{RETARD}",TEXT(Inscriptions!S95,"0")),SUBSTITUTE(SUBSTITUTE(SUBSTITUTE(SUBSTITUTE(SUBSTITUTE(C3,"{MONTANT}",TEXT(Inscriptions!N95,"#,##0")&amp;" MRU"),"{PRENOM}",Inscriptions!C95),"{NOM}",Inscriptions!B95),"{PRESTATION}",E101),"{DATE_LIMITE}",IF(Inscriptions!R95="","non définie",TEXT(Inscriptions!R95,"DD/MM/YYYY"))))))</f>
        <v>✅ Bonjour, la Fiveur Academy confirme la réception du paiement de 1500,0 MRU pour Ciré N'DAW. Inscription validée pour : Football. Merci de votre confiance ! ⚽ Fiveur Academy — Since 2023.</v>
      </c>
    </row>
    <row r="102" spans="1:10">
      <c r="A102" s="28">
        <f>IF(Inscriptions!B96="","",Inscriptions!A96)</f>
        <v>94</v>
      </c>
      <c r="B102" s="28" t="str">
        <f>IF(Inscriptions!B96="","",Inscriptions!B96)</f>
        <v>SARRE</v>
      </c>
      <c r="C102" s="28" t="str">
        <f>IF(Inscriptions!B96="","",Inscriptions!C96)</f>
        <v>Tierno</v>
      </c>
      <c r="D102" s="28" t="str">
        <f>IF(Inscriptions!B96="","",Inscriptions!G96)</f>
        <v>+222 49 86 23 31</v>
      </c>
      <c r="E102" s="28" t="str">
        <f>IF(Inscriptions!B96="","",IF(AND(Inscriptions!I96="Oui",Inscriptions!J96="Oui"),"Football + Loisirs",IF(Inscriptions!I96="Oui","Football",IF(Inscriptions!J96="Oui","Centre Loisirs",""))))</f>
        <v>Football</v>
      </c>
      <c r="F102" s="28">
        <f>IF(Inscriptions!B96="","",Inscriptions!N96)</f>
        <v>1000</v>
      </c>
      <c r="G102" s="28" t="str">
        <f>IF(Inscriptions!B96="","",Inscriptions!O96)</f>
        <v>Partiel</v>
      </c>
      <c r="H102" s="28" t="str">
        <f ca="1">IF(Inscriptions!B96="","",IF(Inscriptions!S96="","—",Inscriptions!S96&amp;" j"))</f>
        <v>—</v>
      </c>
      <c r="I102" s="28" t="str">
        <f ca="1">IF(Inscriptions!B96="","",IF(Inscriptions!O96="Payé","✅ Confirmation",IF(AND(Inscriptions!S96&lt;&gt;"",Inscriptions!S96&gt;0),"🔴 Retard","🟡 Rappel")))</f>
        <v>🟡 Rappel</v>
      </c>
      <c r="J102" s="29" t="str">
        <f ca="1">IF(Inscriptions!B96="","",IF(Inscriptions!O96="Payé",SUBSTITUTE(SUBSTITUTE(SUBSTITUTE(SUBSTITUTE(C5,"{MONTANT}",TEXT(Inscriptions!N96,"#,##0")&amp;" MRU"),"{PRENOM}",Inscriptions!C96),"{NOM}",Inscriptions!B96),"{PRESTATION}",E102),IF(AND(Inscriptions!S96&lt;&gt;"",Inscriptions!S96&gt;0),SUBSTITUTE(SUBSTITUTE(SUBSTITUTE(SUBSTITUTE(C4,"{MONTANT}",TEXT(Inscriptions!N96,"#,##0")&amp;" MRU"),"{PRENOM}",Inscriptions!C96),"{NOM}",Inscriptions!B96),"{RETARD}",TEXT(Inscriptions!S96,"0")),SUBSTITUTE(SUBSTITUTE(SUBSTITUTE(SUBSTITUTE(SUBSTITUTE(C3,"{MONTANT}",TEXT(Inscriptions!N96,"#,##0")&amp;" MRU"),"{PRENOM}",Inscriptions!C96),"{NOM}",Inscriptions!B96),"{PRESTATION}",E102),"{DATE_LIMITE}",IF(Inscriptions!R96="","non définie",TEXT(Inscriptions!R96,"DD/MM/YYYY"))))))</f>
        <v>Bonjour, ceci est un rappel de la Fiveur Academy. Le paiement de 1000,0 MRU pour l'inscription de Tierno SARRE (Football) est en attente. Date limite : non définie. Merci de régulariser. Cordialement, Fiveur Academy.</v>
      </c>
    </row>
    <row r="103" spans="1:10">
      <c r="A103" s="26">
        <f>IF(Inscriptions!B97="","",Inscriptions!A97)</f>
        <v>95</v>
      </c>
      <c r="B103" s="26" t="str">
        <f>IF(Inscriptions!B97="","",Inscriptions!B97)</f>
        <v>DIEYE</v>
      </c>
      <c r="C103" s="26" t="str">
        <f>IF(Inscriptions!B97="","",Inscriptions!C97)</f>
        <v>Djibi</v>
      </c>
      <c r="D103" s="26" t="str">
        <f>IF(Inscriptions!B97="","",Inscriptions!G97)</f>
        <v>+222 47 78 99 71</v>
      </c>
      <c r="E103" s="26" t="str">
        <f>IF(Inscriptions!B97="","",IF(AND(Inscriptions!I97="Oui",Inscriptions!J97="Oui"),"Football + Loisirs",IF(Inscriptions!I97="Oui","Football",IF(Inscriptions!J97="Oui","Centre Loisirs",""))))</f>
        <v>Football</v>
      </c>
      <c r="F103" s="26">
        <f>IF(Inscriptions!B97="","",Inscriptions!N97)</f>
        <v>1000</v>
      </c>
      <c r="G103" s="26" t="str">
        <f>IF(Inscriptions!B97="","",Inscriptions!O97)</f>
        <v>Partiel</v>
      </c>
      <c r="H103" s="26" t="str">
        <f ca="1">IF(Inscriptions!B97="","",IF(Inscriptions!S97="","—",Inscriptions!S97&amp;" j"))</f>
        <v>—</v>
      </c>
      <c r="I103" s="26" t="str">
        <f ca="1">IF(Inscriptions!B97="","",IF(Inscriptions!O97="Payé","✅ Confirmation",IF(AND(Inscriptions!S97&lt;&gt;"",Inscriptions!S97&gt;0),"🔴 Retard","🟡 Rappel")))</f>
        <v>🟡 Rappel</v>
      </c>
      <c r="J103" s="27" t="str">
        <f ca="1">IF(Inscriptions!B97="","",IF(Inscriptions!O97="Payé",SUBSTITUTE(SUBSTITUTE(SUBSTITUTE(SUBSTITUTE(C5,"{MONTANT}",TEXT(Inscriptions!N97,"#,##0")&amp;" MRU"),"{PRENOM}",Inscriptions!C97),"{NOM}",Inscriptions!B97),"{PRESTATION}",E103),IF(AND(Inscriptions!S97&lt;&gt;"",Inscriptions!S97&gt;0),SUBSTITUTE(SUBSTITUTE(SUBSTITUTE(SUBSTITUTE(C4,"{MONTANT}",TEXT(Inscriptions!N97,"#,##0")&amp;" MRU"),"{PRENOM}",Inscriptions!C97),"{NOM}",Inscriptions!B97),"{RETARD}",TEXT(Inscriptions!S97,"0")),SUBSTITUTE(SUBSTITUTE(SUBSTITUTE(SUBSTITUTE(SUBSTITUTE(C3,"{MONTANT}",TEXT(Inscriptions!N97,"#,##0")&amp;" MRU"),"{PRENOM}",Inscriptions!C97),"{NOM}",Inscriptions!B97),"{PRESTATION}",E103),"{DATE_LIMITE}",IF(Inscriptions!R97="","non définie",TEXT(Inscriptions!R97,"DD/MM/YYYY"))))))</f>
        <v>Bonjour, ceci est un rappel de la Fiveur Academy. Le paiement de 1000,0 MRU pour l'inscription de Djibi DIEYE (Football) est en attente. Date limite : non définie. Merci de régulariser. Cordialement, Fiveur Academy.</v>
      </c>
    </row>
    <row r="104" spans="1:10">
      <c r="A104" s="28">
        <f>IF(Inscriptions!B98="","",Inscriptions!A98)</f>
        <v>96</v>
      </c>
      <c r="B104" s="28" t="str">
        <f>IF(Inscriptions!B98="","",Inscriptions!B98)</f>
        <v>DJIGO</v>
      </c>
      <c r="C104" s="28" t="str">
        <f>IF(Inscriptions!B98="","",Inscriptions!C98)</f>
        <v>Cheikh Bay</v>
      </c>
      <c r="D104" s="28" t="str">
        <f>IF(Inscriptions!B98="","",Inscriptions!G98)</f>
        <v>+222 49 47 01 42</v>
      </c>
      <c r="E104" s="28" t="str">
        <f>IF(Inscriptions!B98="","",IF(AND(Inscriptions!I98="Oui",Inscriptions!J98="Oui"),"Football + Loisirs",IF(Inscriptions!I98="Oui","Football",IF(Inscriptions!J98="Oui","Centre Loisirs",""))))</f>
        <v>Football</v>
      </c>
      <c r="F104" s="28">
        <f>IF(Inscriptions!B98="","",Inscriptions!N98)</f>
        <v>0</v>
      </c>
      <c r="G104" s="28" t="str">
        <f>IF(Inscriptions!B98="","",Inscriptions!O98)</f>
        <v>En attente</v>
      </c>
      <c r="H104" s="28" t="str">
        <f ca="1">IF(Inscriptions!B98="","",IF(Inscriptions!S98="","—",Inscriptions!S98&amp;" j"))</f>
        <v>—</v>
      </c>
      <c r="I104" s="28" t="str">
        <f ca="1">IF(Inscriptions!B98="","",IF(Inscriptions!O98="Payé","✅ Confirmation",IF(AND(Inscriptions!S98&lt;&gt;"",Inscriptions!S98&gt;0),"🔴 Retard","🟡 Rappel")))</f>
        <v>🟡 Rappel</v>
      </c>
      <c r="J104" s="29" t="str">
        <f ca="1">IF(Inscriptions!B98="","",IF(Inscriptions!O98="Payé",SUBSTITUTE(SUBSTITUTE(SUBSTITUTE(SUBSTITUTE(C5,"{MONTANT}",TEXT(Inscriptions!N98,"#,##0")&amp;" MRU"),"{PRENOM}",Inscriptions!C98),"{NOM}",Inscriptions!B98),"{PRESTATION}",E104),IF(AND(Inscriptions!S98&lt;&gt;"",Inscriptions!S98&gt;0),SUBSTITUTE(SUBSTITUTE(SUBSTITUTE(SUBSTITUTE(C4,"{MONTANT}",TEXT(Inscriptions!N98,"#,##0")&amp;" MRU"),"{PRENOM}",Inscriptions!C98),"{NOM}",Inscriptions!B98),"{RETARD}",TEXT(Inscriptions!S98,"0")),SUBSTITUTE(SUBSTITUTE(SUBSTITUTE(SUBSTITUTE(SUBSTITUTE(C3,"{MONTANT}",TEXT(Inscriptions!N98,"#,##0")&amp;" MRU"),"{PRENOM}",Inscriptions!C98),"{NOM}",Inscriptions!B98),"{PRESTATION}",E104),"{DATE_LIMITE}",IF(Inscriptions!R98="","non définie",TEXT(Inscriptions!R98,"DD/MM/YYYY"))))))</f>
        <v>Bonjour, ceci est un rappel de la Fiveur Academy. Le paiement de ,0 MRU pour l'inscription de Cheikh Bay DJIGO (Football) est en attente. Date limite : non définie. Merci de régulariser. Cordialement, Fiveur Academy.</v>
      </c>
    </row>
    <row r="105" spans="1:10">
      <c r="A105" s="26">
        <f>IF(Inscriptions!B99="","",Inscriptions!A99)</f>
        <v>97</v>
      </c>
      <c r="B105" s="26" t="str">
        <f>IF(Inscriptions!B99="","",Inscriptions!B99)</f>
        <v>BA</v>
      </c>
      <c r="C105" s="26" t="str">
        <f>IF(Inscriptions!B99="","",Inscriptions!C99)</f>
        <v>Zeinebou</v>
      </c>
      <c r="D105" s="26" t="str">
        <f>IF(Inscriptions!B99="","",Inscriptions!G99)</f>
        <v>+222 46 02 86 68</v>
      </c>
      <c r="E105" s="26" t="str">
        <f>IF(Inscriptions!B99="","",IF(AND(Inscriptions!I99="Oui",Inscriptions!J99="Oui"),"Football + Loisirs",IF(Inscriptions!I99="Oui","Football",IF(Inscriptions!J99="Oui","Centre Loisirs",""))))</f>
        <v>Football</v>
      </c>
      <c r="F105" s="26">
        <f>IF(Inscriptions!B99="","",Inscriptions!N99)</f>
        <v>0</v>
      </c>
      <c r="G105" s="26" t="str">
        <f>IF(Inscriptions!B99="","",Inscriptions!O99)</f>
        <v>Payé</v>
      </c>
      <c r="H105" s="26" t="str">
        <f ca="1">IF(Inscriptions!B99="","",IF(Inscriptions!S99="","—",Inscriptions!S99&amp;" j"))</f>
        <v>—</v>
      </c>
      <c r="I105" s="26" t="str">
        <f>IF(Inscriptions!B99="","",IF(Inscriptions!O99="Payé","✅ Confirmation",IF(AND(Inscriptions!S99&lt;&gt;"",Inscriptions!S99&gt;0),"🔴 Retard","🟡 Rappel")))</f>
        <v>✅ Confirmation</v>
      </c>
      <c r="J105" s="27" t="str">
        <f>IF(Inscriptions!B99="","",IF(Inscriptions!O99="Payé",SUBSTITUTE(SUBSTITUTE(SUBSTITUTE(SUBSTITUTE(C5,"{MONTANT}",TEXT(Inscriptions!N99,"#,##0")&amp;" MRU"),"{PRENOM}",Inscriptions!C99),"{NOM}",Inscriptions!B99),"{PRESTATION}",E105),IF(AND(Inscriptions!S99&lt;&gt;"",Inscriptions!S99&gt;0),SUBSTITUTE(SUBSTITUTE(SUBSTITUTE(SUBSTITUTE(C4,"{MONTANT}",TEXT(Inscriptions!N99,"#,##0")&amp;" MRU"),"{PRENOM}",Inscriptions!C99),"{NOM}",Inscriptions!B99),"{RETARD}",TEXT(Inscriptions!S99,"0")),SUBSTITUTE(SUBSTITUTE(SUBSTITUTE(SUBSTITUTE(SUBSTITUTE(C3,"{MONTANT}",TEXT(Inscriptions!N99,"#,##0")&amp;" MRU"),"{PRENOM}",Inscriptions!C99),"{NOM}",Inscriptions!B99),"{PRESTATION}",E105),"{DATE_LIMITE}",IF(Inscriptions!R99="","non définie",TEXT(Inscriptions!R99,"DD/MM/YYYY"))))))</f>
        <v>✅ Bonjour, la Fiveur Academy confirme la réception du paiement de ,0 MRU pour Zeinebou BA. Inscription validée pour : Football. Merci de votre confiance ! ⚽ Fiveur Academy — Since 2023.</v>
      </c>
    </row>
    <row r="106" spans="1:10">
      <c r="A106" s="28">
        <f>IF(Inscriptions!B100="","",Inscriptions!A100)</f>
        <v>98</v>
      </c>
      <c r="B106" s="28" t="str">
        <f>IF(Inscriptions!B100="","",Inscriptions!B100)</f>
        <v>SOUMARÉ</v>
      </c>
      <c r="C106" s="28" t="str">
        <f>IF(Inscriptions!B100="","",Inscriptions!C100)</f>
        <v>Aminta</v>
      </c>
      <c r="D106" s="28" t="str">
        <f>IF(Inscriptions!B100="","",Inscriptions!G100)</f>
        <v>+222 44 61 10 52</v>
      </c>
      <c r="E106" s="28" t="str">
        <f>IF(Inscriptions!B100="","",IF(AND(Inscriptions!I100="Oui",Inscriptions!J100="Oui"),"Football + Loisirs",IF(Inscriptions!I100="Oui","Football",IF(Inscriptions!J100="Oui","Centre Loisirs",""))))</f>
        <v>Football</v>
      </c>
      <c r="F106" s="28">
        <f>IF(Inscriptions!B100="","",Inscriptions!N100)</f>
        <v>0</v>
      </c>
      <c r="G106" s="28" t="str">
        <f>IF(Inscriptions!B100="","",Inscriptions!O100)</f>
        <v>En attente</v>
      </c>
      <c r="H106" s="28" t="str">
        <f ca="1">IF(Inscriptions!B100="","",IF(Inscriptions!S100="","—",Inscriptions!S100&amp;" j"))</f>
        <v>—</v>
      </c>
      <c r="I106" s="28" t="str">
        <f ca="1">IF(Inscriptions!B100="","",IF(Inscriptions!O100="Payé","✅ Confirmation",IF(AND(Inscriptions!S100&lt;&gt;"",Inscriptions!S100&gt;0),"🔴 Retard","🟡 Rappel")))</f>
        <v>🟡 Rappel</v>
      </c>
      <c r="J106" s="29" t="str">
        <f ca="1">IF(Inscriptions!B100="","",IF(Inscriptions!O100="Payé",SUBSTITUTE(SUBSTITUTE(SUBSTITUTE(SUBSTITUTE(C5,"{MONTANT}",TEXT(Inscriptions!N100,"#,##0")&amp;" MRU"),"{PRENOM}",Inscriptions!C100),"{NOM}",Inscriptions!B100),"{PRESTATION}",E106),IF(AND(Inscriptions!S100&lt;&gt;"",Inscriptions!S100&gt;0),SUBSTITUTE(SUBSTITUTE(SUBSTITUTE(SUBSTITUTE(C4,"{MONTANT}",TEXT(Inscriptions!N100,"#,##0")&amp;" MRU"),"{PRENOM}",Inscriptions!C100),"{NOM}",Inscriptions!B100),"{RETARD}",TEXT(Inscriptions!S100,"0")),SUBSTITUTE(SUBSTITUTE(SUBSTITUTE(SUBSTITUTE(SUBSTITUTE(C3,"{MONTANT}",TEXT(Inscriptions!N100,"#,##0")&amp;" MRU"),"{PRENOM}",Inscriptions!C100),"{NOM}",Inscriptions!B100),"{PRESTATION}",E106),"{DATE_LIMITE}",IF(Inscriptions!R100="","non définie",TEXT(Inscriptions!R100,"DD/MM/YYYY"))))))</f>
        <v>Bonjour, ceci est un rappel de la Fiveur Academy. Le paiement de ,0 MRU pour l'inscription de Aminta SOUMARÉ (Football) est en attente. Date limite : non définie. Merci de régulariser. Cordialement, Fiveur Academy.</v>
      </c>
    </row>
    <row r="107" spans="1:10">
      <c r="A107" s="26">
        <f>IF(Inscriptions!B101="","",Inscriptions!A101)</f>
        <v>99</v>
      </c>
      <c r="B107" s="26" t="str">
        <f>IF(Inscriptions!B101="","",Inscriptions!B101)</f>
        <v>SOUMARÉ</v>
      </c>
      <c r="C107" s="26" t="str">
        <f>IF(Inscriptions!B101="","",Inscriptions!C101)</f>
        <v>Mariame</v>
      </c>
      <c r="D107" s="26" t="str">
        <f>IF(Inscriptions!B101="","",Inscriptions!G101)</f>
        <v>+222 44 44 14 07</v>
      </c>
      <c r="E107" s="26" t="str">
        <f>IF(Inscriptions!B101="","",IF(AND(Inscriptions!I101="Oui",Inscriptions!J101="Oui"),"Football + Loisirs",IF(Inscriptions!I101="Oui","Football",IF(Inscriptions!J101="Oui","Centre Loisirs",""))))</f>
        <v>Football</v>
      </c>
      <c r="F107" s="26">
        <f>IF(Inscriptions!B101="","",Inscriptions!N101)</f>
        <v>0</v>
      </c>
      <c r="G107" s="26" t="str">
        <f>IF(Inscriptions!B101="","",Inscriptions!O101)</f>
        <v>En attente</v>
      </c>
      <c r="H107" s="26" t="str">
        <f ca="1">IF(Inscriptions!B101="","",IF(Inscriptions!S101="","—",Inscriptions!S101&amp;" j"))</f>
        <v>—</v>
      </c>
      <c r="I107" s="26" t="str">
        <f ca="1">IF(Inscriptions!B101="","",IF(Inscriptions!O101="Payé","✅ Confirmation",IF(AND(Inscriptions!S101&lt;&gt;"",Inscriptions!S101&gt;0),"🔴 Retard","🟡 Rappel")))</f>
        <v>🟡 Rappel</v>
      </c>
      <c r="J107" s="27" t="str">
        <f ca="1">IF(Inscriptions!B101="","",IF(Inscriptions!O101="Payé",SUBSTITUTE(SUBSTITUTE(SUBSTITUTE(SUBSTITUTE(C5,"{MONTANT}",TEXT(Inscriptions!N101,"#,##0")&amp;" MRU"),"{PRENOM}",Inscriptions!C101),"{NOM}",Inscriptions!B101),"{PRESTATION}",E107),IF(AND(Inscriptions!S101&lt;&gt;"",Inscriptions!S101&gt;0),SUBSTITUTE(SUBSTITUTE(SUBSTITUTE(SUBSTITUTE(C4,"{MONTANT}",TEXT(Inscriptions!N101,"#,##0")&amp;" MRU"),"{PRENOM}",Inscriptions!C101),"{NOM}",Inscriptions!B101),"{RETARD}",TEXT(Inscriptions!S101,"0")),SUBSTITUTE(SUBSTITUTE(SUBSTITUTE(SUBSTITUTE(SUBSTITUTE(C3,"{MONTANT}",TEXT(Inscriptions!N101,"#,##0")&amp;" MRU"),"{PRENOM}",Inscriptions!C101),"{NOM}",Inscriptions!B101),"{PRESTATION}",E107),"{DATE_LIMITE}",IF(Inscriptions!R101="","non définie",TEXT(Inscriptions!R101,"DD/MM/YYYY"))))))</f>
        <v>Bonjour, ceci est un rappel de la Fiveur Academy. Le paiement de ,0 MRU pour l'inscription de Mariame SOUMARÉ (Football) est en attente. Date limite : non définie. Merci de régulariser. Cordialement, Fiveur Academy.</v>
      </c>
    </row>
    <row r="108" spans="1:10">
      <c r="A108" s="28">
        <f>IF(Inscriptions!B102="","",Inscriptions!A102)</f>
        <v>100</v>
      </c>
      <c r="B108" s="28" t="str">
        <f>IF(Inscriptions!B102="","",Inscriptions!B102)</f>
        <v>SOW</v>
      </c>
      <c r="C108" s="28" t="str">
        <f>IF(Inscriptions!B102="","",Inscriptions!C102)</f>
        <v>Aminata</v>
      </c>
      <c r="D108" s="28" t="str">
        <f>IF(Inscriptions!B102="","",Inscriptions!G102)</f>
        <v>+222 46 38 80 03</v>
      </c>
      <c r="E108" s="28" t="str">
        <f>IF(Inscriptions!B102="","",IF(AND(Inscriptions!I102="Oui",Inscriptions!J102="Oui"),"Football + Loisirs",IF(Inscriptions!I102="Oui","Football",IF(Inscriptions!J102="Oui","Centre Loisirs",""))))</f>
        <v>Football</v>
      </c>
      <c r="F108" s="28">
        <f>IF(Inscriptions!B102="","",Inscriptions!N102)</f>
        <v>0</v>
      </c>
      <c r="G108" s="28" t="str">
        <f>IF(Inscriptions!B102="","",Inscriptions!O102)</f>
        <v>Partiel</v>
      </c>
      <c r="H108" s="28" t="str">
        <f ca="1">IF(Inscriptions!B102="","",IF(Inscriptions!S102="","—",Inscriptions!S102&amp;" j"))</f>
        <v>—</v>
      </c>
      <c r="I108" s="28" t="str">
        <f ca="1">IF(Inscriptions!B102="","",IF(Inscriptions!O102="Payé","✅ Confirmation",IF(AND(Inscriptions!S102&lt;&gt;"",Inscriptions!S102&gt;0),"🔴 Retard","🟡 Rappel")))</f>
        <v>🟡 Rappel</v>
      </c>
      <c r="J108" s="29" t="str">
        <f ca="1">IF(Inscriptions!B102="","",IF(Inscriptions!O102="Payé",SUBSTITUTE(SUBSTITUTE(SUBSTITUTE(SUBSTITUTE(C5,"{MONTANT}",TEXT(Inscriptions!N102,"#,##0")&amp;" MRU"),"{PRENOM}",Inscriptions!C102),"{NOM}",Inscriptions!B102),"{PRESTATION}",E108),IF(AND(Inscriptions!S102&lt;&gt;"",Inscriptions!S102&gt;0),SUBSTITUTE(SUBSTITUTE(SUBSTITUTE(SUBSTITUTE(C4,"{MONTANT}",TEXT(Inscriptions!N102,"#,##0")&amp;" MRU"),"{PRENOM}",Inscriptions!C102),"{NOM}",Inscriptions!B102),"{RETARD}",TEXT(Inscriptions!S102,"0")),SUBSTITUTE(SUBSTITUTE(SUBSTITUTE(SUBSTITUTE(SUBSTITUTE(C3,"{MONTANT}",TEXT(Inscriptions!N102,"#,##0")&amp;" MRU"),"{PRENOM}",Inscriptions!C102),"{NOM}",Inscriptions!B102),"{PRESTATION}",E108),"{DATE_LIMITE}",IF(Inscriptions!R102="","non définie",TEXT(Inscriptions!R102,"DD/MM/YYYY"))))))</f>
        <v>Bonjour, ceci est un rappel de la Fiveur Academy. Le paiement de ,0 MRU pour l'inscription de Aminata SOW (Football) est en attente. Date limite : non définie. Merci de régulariser. Cordialement, Fiveur Academy.</v>
      </c>
    </row>
    <row r="109" spans="1:10">
      <c r="A109" s="26">
        <f>IF(Inscriptions!B103="","",Inscriptions!A103)</f>
        <v>101</v>
      </c>
      <c r="B109" s="26" t="str">
        <f>IF(Inscriptions!B103="","",Inscriptions!B103)</f>
        <v>SOW</v>
      </c>
      <c r="C109" s="26" t="str">
        <f>IF(Inscriptions!B103="","",Inscriptions!C103)</f>
        <v>Maama</v>
      </c>
      <c r="D109" s="26" t="str">
        <f>IF(Inscriptions!B103="","",Inscriptions!G103)</f>
        <v>+222 46 38 80 03</v>
      </c>
      <c r="E109" s="26" t="str">
        <f>IF(Inscriptions!B103="","",IF(AND(Inscriptions!I103="Oui",Inscriptions!J103="Oui"),"Football + Loisirs",IF(Inscriptions!I103="Oui","Football",IF(Inscriptions!J103="Oui","Centre Loisirs",""))))</f>
        <v>Football</v>
      </c>
      <c r="F109" s="26">
        <f>IF(Inscriptions!B103="","",Inscriptions!N103)</f>
        <v>0</v>
      </c>
      <c r="G109" s="26" t="str">
        <f>IF(Inscriptions!B103="","",Inscriptions!O103)</f>
        <v>Partiel</v>
      </c>
      <c r="H109" s="26" t="str">
        <f ca="1">IF(Inscriptions!B103="","",IF(Inscriptions!S103="","—",Inscriptions!S103&amp;" j"))</f>
        <v>—</v>
      </c>
      <c r="I109" s="26" t="str">
        <f ca="1">IF(Inscriptions!B103="","",IF(Inscriptions!O103="Payé","✅ Confirmation",IF(AND(Inscriptions!S103&lt;&gt;"",Inscriptions!S103&gt;0),"🔴 Retard","🟡 Rappel")))</f>
        <v>🟡 Rappel</v>
      </c>
      <c r="J109" s="27" t="str">
        <f ca="1">IF(Inscriptions!B103="","",IF(Inscriptions!O103="Payé",SUBSTITUTE(SUBSTITUTE(SUBSTITUTE(SUBSTITUTE(C5,"{MONTANT}",TEXT(Inscriptions!N103,"#,##0")&amp;" MRU"),"{PRENOM}",Inscriptions!C103),"{NOM}",Inscriptions!B103),"{PRESTATION}",E109),IF(AND(Inscriptions!S103&lt;&gt;"",Inscriptions!S103&gt;0),SUBSTITUTE(SUBSTITUTE(SUBSTITUTE(SUBSTITUTE(C4,"{MONTANT}",TEXT(Inscriptions!N103,"#,##0")&amp;" MRU"),"{PRENOM}",Inscriptions!C103),"{NOM}",Inscriptions!B103),"{RETARD}",TEXT(Inscriptions!S103,"0")),SUBSTITUTE(SUBSTITUTE(SUBSTITUTE(SUBSTITUTE(SUBSTITUTE(C3,"{MONTANT}",TEXT(Inscriptions!N103,"#,##0")&amp;" MRU"),"{PRENOM}",Inscriptions!C103),"{NOM}",Inscriptions!B103),"{PRESTATION}",E109),"{DATE_LIMITE}",IF(Inscriptions!R103="","non définie",TEXT(Inscriptions!R103,"DD/MM/YYYY"))))))</f>
        <v>Bonjour, ceci est un rappel de la Fiveur Academy. Le paiement de ,0 MRU pour l'inscription de Maama SOW (Football) est en attente. Date limite : non définie. Merci de régulariser. Cordialement, Fiveur Academy.</v>
      </c>
    </row>
    <row r="110" spans="1:10">
      <c r="A110" s="28">
        <f>IF(Inscriptions!B104="","",Inscriptions!A104)</f>
        <v>102</v>
      </c>
      <c r="B110" s="28" t="str">
        <f>IF(Inscriptions!B104="","",Inscriptions!B104)</f>
        <v>DIALLO</v>
      </c>
      <c r="C110" s="28" t="str">
        <f>IF(Inscriptions!B104="","",Inscriptions!C104)</f>
        <v>Aboubacar</v>
      </c>
      <c r="D110" s="28" t="str">
        <f>IF(Inscriptions!B104="","",Inscriptions!G104)</f>
        <v>+222 44 85 59 12</v>
      </c>
      <c r="E110" s="28" t="str">
        <f>IF(Inscriptions!B104="","",IF(AND(Inscriptions!I104="Oui",Inscriptions!J104="Oui"),"Football + Loisirs",IF(Inscriptions!I104="Oui","Football",IF(Inscriptions!J104="Oui","Centre Loisirs",""))))</f>
        <v/>
      </c>
      <c r="F110" s="28">
        <f>IF(Inscriptions!B104="","",Inscriptions!N104)</f>
        <v>0</v>
      </c>
      <c r="G110" s="28">
        <f>IF(Inscriptions!B104="","",Inscriptions!O104)</f>
        <v>0</v>
      </c>
      <c r="H110" s="28" t="str">
        <f ca="1">IF(Inscriptions!B104="","",IF(Inscriptions!S104="","—",Inscriptions!S104&amp;" j"))</f>
        <v>—</v>
      </c>
      <c r="I110" s="28" t="str">
        <f ca="1">IF(Inscriptions!B104="","",IF(Inscriptions!O104="Payé","✅ Confirmation",IF(AND(Inscriptions!S104&lt;&gt;"",Inscriptions!S104&gt;0),"🔴 Retard","🟡 Rappel")))</f>
        <v>🟡 Rappel</v>
      </c>
      <c r="J110" s="29" t="str">
        <f ca="1">IF(Inscriptions!B104="","",IF(Inscriptions!O104="Payé",SUBSTITUTE(SUBSTITUTE(SUBSTITUTE(SUBSTITUTE(C5,"{MONTANT}",TEXT(Inscriptions!N104,"#,##0")&amp;" MRU"),"{PRENOM}",Inscriptions!C104),"{NOM}",Inscriptions!B104),"{PRESTATION}",E110),IF(AND(Inscriptions!S104&lt;&gt;"",Inscriptions!S104&gt;0),SUBSTITUTE(SUBSTITUTE(SUBSTITUTE(SUBSTITUTE(C4,"{MONTANT}",TEXT(Inscriptions!N104,"#,##0")&amp;" MRU"),"{PRENOM}",Inscriptions!C104),"{NOM}",Inscriptions!B104),"{RETARD}",TEXT(Inscriptions!S104,"0")),SUBSTITUTE(SUBSTITUTE(SUBSTITUTE(SUBSTITUTE(SUBSTITUTE(C3,"{MONTANT}",TEXT(Inscriptions!N104,"#,##0")&amp;" MRU"),"{PRENOM}",Inscriptions!C104),"{NOM}",Inscriptions!B104),"{PRESTATION}",E110),"{DATE_LIMITE}",IF(Inscriptions!R104="","non définie",TEXT(Inscriptions!R104,"DD/MM/YYYY"))))))</f>
        <v>Bonjour, ceci est un rappel de la Fiveur Academy. Le paiement de ,0 MRU pour l'inscription de Aboubacar DIALLO () est en attente. Date limite : non définie. Merci de régulariser. Cordialement, Fiveur Academy.</v>
      </c>
    </row>
    <row r="111" spans="1:10">
      <c r="A111" s="26">
        <f>IF(Inscriptions!B105="","",Inscriptions!A105)</f>
        <v>103</v>
      </c>
      <c r="B111" s="26" t="str">
        <f>IF(Inscriptions!B105="","",Inscriptions!B105)</f>
        <v>DIALLO</v>
      </c>
      <c r="C111" s="26" t="str">
        <f>IF(Inscriptions!B105="","",Inscriptions!C105)</f>
        <v>Birame</v>
      </c>
      <c r="D111" s="26" t="str">
        <f>IF(Inscriptions!B105="","",Inscriptions!G105)</f>
        <v>+222 46 41 23 55</v>
      </c>
      <c r="E111" s="26" t="str">
        <f>IF(Inscriptions!B105="","",IF(AND(Inscriptions!I105="Oui",Inscriptions!J105="Oui"),"Football + Loisirs",IF(Inscriptions!I105="Oui","Football",IF(Inscriptions!J105="Oui","Centre Loisirs",""))))</f>
        <v>Football</v>
      </c>
      <c r="F111" s="26">
        <f>IF(Inscriptions!B105="","",Inscriptions!N105)</f>
        <v>0</v>
      </c>
      <c r="G111" s="26">
        <f>IF(Inscriptions!B105="","",Inscriptions!O105)</f>
        <v>0</v>
      </c>
      <c r="H111" s="26" t="str">
        <f ca="1">IF(Inscriptions!B105="","",IF(Inscriptions!S105="","—",Inscriptions!S105&amp;" j"))</f>
        <v>—</v>
      </c>
      <c r="I111" s="26" t="str">
        <f ca="1">IF(Inscriptions!B105="","",IF(Inscriptions!O105="Payé","✅ Confirmation",IF(AND(Inscriptions!S105&lt;&gt;"",Inscriptions!S105&gt;0),"🔴 Retard","🟡 Rappel")))</f>
        <v>🟡 Rappel</v>
      </c>
      <c r="J111" s="27" t="str">
        <f ca="1">IF(Inscriptions!B105="","",IF(Inscriptions!O105="Payé",SUBSTITUTE(SUBSTITUTE(SUBSTITUTE(SUBSTITUTE(C5,"{MONTANT}",TEXT(Inscriptions!N105,"#,##0")&amp;" MRU"),"{PRENOM}",Inscriptions!C105),"{NOM}",Inscriptions!B105),"{PRESTATION}",E111),IF(AND(Inscriptions!S105&lt;&gt;"",Inscriptions!S105&gt;0),SUBSTITUTE(SUBSTITUTE(SUBSTITUTE(SUBSTITUTE(C4,"{MONTANT}",TEXT(Inscriptions!N105,"#,##0")&amp;" MRU"),"{PRENOM}",Inscriptions!C105),"{NOM}",Inscriptions!B105),"{RETARD}",TEXT(Inscriptions!S105,"0")),SUBSTITUTE(SUBSTITUTE(SUBSTITUTE(SUBSTITUTE(SUBSTITUTE(C3,"{MONTANT}",TEXT(Inscriptions!N105,"#,##0")&amp;" MRU"),"{PRENOM}",Inscriptions!C105),"{NOM}",Inscriptions!B105),"{PRESTATION}",E111),"{DATE_LIMITE}",IF(Inscriptions!R105="","non définie",TEXT(Inscriptions!R105,"DD/MM/YYYY"))))))</f>
        <v>Bonjour, ceci est un rappel de la Fiveur Academy. Le paiement de ,0 MRU pour l'inscription de Birame DIALLO (Football) est en attente. Date limite : non définie. Merci de régulariser. Cordialement, Fiveur Academy.</v>
      </c>
    </row>
    <row r="112" spans="1:10">
      <c r="A112" s="28">
        <f>IF(Inscriptions!B106="","",Inscriptions!A106)</f>
        <v>104</v>
      </c>
      <c r="B112" s="28" t="str">
        <f>IF(Inscriptions!B106="","",Inscriptions!B106)</f>
        <v>SAKHO</v>
      </c>
      <c r="C112" s="28" t="str">
        <f>IF(Inscriptions!B106="","",Inscriptions!C106)</f>
        <v>Amadou</v>
      </c>
      <c r="D112" s="28" t="str">
        <f>IF(Inscriptions!B106="","",Inscriptions!G106)</f>
        <v>+222 46 43 00 51</v>
      </c>
      <c r="E112" s="28" t="str">
        <f>IF(Inscriptions!B106="","",IF(AND(Inscriptions!I106="Oui",Inscriptions!J106="Oui"),"Football + Loisirs",IF(Inscriptions!I106="Oui","Football",IF(Inscriptions!J106="Oui","Centre Loisirs",""))))</f>
        <v>Football</v>
      </c>
      <c r="F112" s="28">
        <f>IF(Inscriptions!B106="","",Inscriptions!N106)</f>
        <v>0</v>
      </c>
      <c r="G112" s="28" t="str">
        <f>IF(Inscriptions!B106="","",Inscriptions!O106)</f>
        <v>Payé</v>
      </c>
      <c r="H112" s="28" t="str">
        <f ca="1">IF(Inscriptions!B106="","",IF(Inscriptions!S106="","—",Inscriptions!S106&amp;" j"))</f>
        <v>—</v>
      </c>
      <c r="I112" s="28" t="str">
        <f>IF(Inscriptions!B106="","",IF(Inscriptions!O106="Payé","✅ Confirmation",IF(AND(Inscriptions!S106&lt;&gt;"",Inscriptions!S106&gt;0),"🔴 Retard","🟡 Rappel")))</f>
        <v>✅ Confirmation</v>
      </c>
      <c r="J112" s="29" t="str">
        <f>IF(Inscriptions!B106="","",IF(Inscriptions!O106="Payé",SUBSTITUTE(SUBSTITUTE(SUBSTITUTE(SUBSTITUTE(C5,"{MONTANT}",TEXT(Inscriptions!N106,"#,##0")&amp;" MRU"),"{PRENOM}",Inscriptions!C106),"{NOM}",Inscriptions!B106),"{PRESTATION}",E112),IF(AND(Inscriptions!S106&lt;&gt;"",Inscriptions!S106&gt;0),SUBSTITUTE(SUBSTITUTE(SUBSTITUTE(SUBSTITUTE(C4,"{MONTANT}",TEXT(Inscriptions!N106,"#,##0")&amp;" MRU"),"{PRENOM}",Inscriptions!C106),"{NOM}",Inscriptions!B106),"{RETARD}",TEXT(Inscriptions!S106,"0")),SUBSTITUTE(SUBSTITUTE(SUBSTITUTE(SUBSTITUTE(SUBSTITUTE(C3,"{MONTANT}",TEXT(Inscriptions!N106,"#,##0")&amp;" MRU"),"{PRENOM}",Inscriptions!C106),"{NOM}",Inscriptions!B106),"{PRESTATION}",E112),"{DATE_LIMITE}",IF(Inscriptions!R106="","non définie",TEXT(Inscriptions!R106,"DD/MM/YYYY"))))))</f>
        <v>✅ Bonjour, la Fiveur Academy confirme la réception du paiement de ,0 MRU pour Amadou SAKHO. Inscription validée pour : Football. Merci de votre confiance ! ⚽ Fiveur Academy — Since 2023.</v>
      </c>
    </row>
    <row r="113" spans="1:10">
      <c r="A113" s="26">
        <f>IF(Inscriptions!B107="","",Inscriptions!A107)</f>
        <v>105</v>
      </c>
      <c r="B113" s="26" t="str">
        <f>IF(Inscriptions!B107="","",Inscriptions!B107)</f>
        <v>SAKHO</v>
      </c>
      <c r="C113" s="26" t="str">
        <f>IF(Inscriptions!B107="","",Inscriptions!C107)</f>
        <v>Cheikh saad bouh</v>
      </c>
      <c r="D113" s="26" t="str">
        <f>IF(Inscriptions!B107="","",Inscriptions!G107)</f>
        <v>+222 46 43 00 51</v>
      </c>
      <c r="E113" s="26" t="str">
        <f>IF(Inscriptions!B107="","",IF(AND(Inscriptions!I107="Oui",Inscriptions!J107="Oui"),"Football + Loisirs",IF(Inscriptions!I107="Oui","Football",IF(Inscriptions!J107="Oui","Centre Loisirs",""))))</f>
        <v>Football</v>
      </c>
      <c r="F113" s="26">
        <f>IF(Inscriptions!B107="","",Inscriptions!N107)</f>
        <v>0</v>
      </c>
      <c r="G113" s="26" t="str">
        <f>IF(Inscriptions!B107="","",Inscriptions!O107)</f>
        <v>Payé</v>
      </c>
      <c r="H113" s="26" t="str">
        <f ca="1">IF(Inscriptions!B107="","",IF(Inscriptions!S107="","—",Inscriptions!S107&amp;" j"))</f>
        <v>—</v>
      </c>
      <c r="I113" s="26" t="str">
        <f>IF(Inscriptions!B107="","",IF(Inscriptions!O107="Payé","✅ Confirmation",IF(AND(Inscriptions!S107&lt;&gt;"",Inscriptions!S107&gt;0),"🔴 Retard","🟡 Rappel")))</f>
        <v>✅ Confirmation</v>
      </c>
      <c r="J113" s="27" t="str">
        <f>IF(Inscriptions!B107="","",IF(Inscriptions!O107="Payé",SUBSTITUTE(SUBSTITUTE(SUBSTITUTE(SUBSTITUTE(C5,"{MONTANT}",TEXT(Inscriptions!N107,"#,##0")&amp;" MRU"),"{PRENOM}",Inscriptions!C107),"{NOM}",Inscriptions!B107),"{PRESTATION}",E113),IF(AND(Inscriptions!S107&lt;&gt;"",Inscriptions!S107&gt;0),SUBSTITUTE(SUBSTITUTE(SUBSTITUTE(SUBSTITUTE(C4,"{MONTANT}",TEXT(Inscriptions!N107,"#,##0")&amp;" MRU"),"{PRENOM}",Inscriptions!C107),"{NOM}",Inscriptions!B107),"{RETARD}",TEXT(Inscriptions!S107,"0")),SUBSTITUTE(SUBSTITUTE(SUBSTITUTE(SUBSTITUTE(SUBSTITUTE(C3,"{MONTANT}",TEXT(Inscriptions!N107,"#,##0")&amp;" MRU"),"{PRENOM}",Inscriptions!C107),"{NOM}",Inscriptions!B107),"{PRESTATION}",E113),"{DATE_LIMITE}",IF(Inscriptions!R107="","non définie",TEXT(Inscriptions!R107,"DD/MM/YYYY"))))))</f>
        <v>✅ Bonjour, la Fiveur Academy confirme la réception du paiement de ,0 MRU pour Cheikh saad bouh SAKHO. Inscription validée pour : Football. Merci de votre confiance ! ⚽ Fiveur Academy — Since 2023.</v>
      </c>
    </row>
    <row r="114" spans="1:10">
      <c r="A114" s="28">
        <f>IF(Inscriptions!B108="","",Inscriptions!A108)</f>
        <v>106</v>
      </c>
      <c r="B114" s="28" t="str">
        <f>IF(Inscriptions!B108="","",Inscriptions!B108)</f>
        <v>KOÏTA</v>
      </c>
      <c r="C114" s="28" t="str">
        <f>IF(Inscriptions!B108="","",Inscriptions!C108)</f>
        <v>Mohamed</v>
      </c>
      <c r="D114" s="28" t="str">
        <f>IF(Inscriptions!B108="","",Inscriptions!G108)</f>
        <v>+222 46 46 65 50</v>
      </c>
      <c r="E114" s="28" t="str">
        <f>IF(Inscriptions!B108="","",IF(AND(Inscriptions!I108="Oui",Inscriptions!J108="Oui"),"Football + Loisirs",IF(Inscriptions!I108="Oui","Football",IF(Inscriptions!J108="Oui","Centre Loisirs",""))))</f>
        <v>Football</v>
      </c>
      <c r="F114" s="28">
        <f>IF(Inscriptions!B108="","",Inscriptions!N108)</f>
        <v>0</v>
      </c>
      <c r="G114" s="28" t="str">
        <f>IF(Inscriptions!B108="","",Inscriptions!O108)</f>
        <v>Partiel</v>
      </c>
      <c r="H114" s="28" t="str">
        <f ca="1">IF(Inscriptions!B108="","",IF(Inscriptions!S108="","—",Inscriptions!S108&amp;" j"))</f>
        <v>—</v>
      </c>
      <c r="I114" s="28" t="str">
        <f ca="1">IF(Inscriptions!B108="","",IF(Inscriptions!O108="Payé","✅ Confirmation",IF(AND(Inscriptions!S108&lt;&gt;"",Inscriptions!S108&gt;0),"🔴 Retard","🟡 Rappel")))</f>
        <v>🟡 Rappel</v>
      </c>
      <c r="J114" s="29" t="str">
        <f ca="1">IF(Inscriptions!B108="","",IF(Inscriptions!O108="Payé",SUBSTITUTE(SUBSTITUTE(SUBSTITUTE(SUBSTITUTE(C5,"{MONTANT}",TEXT(Inscriptions!N108,"#,##0")&amp;" MRU"),"{PRENOM}",Inscriptions!C108),"{NOM}",Inscriptions!B108),"{PRESTATION}",E114),IF(AND(Inscriptions!S108&lt;&gt;"",Inscriptions!S108&gt;0),SUBSTITUTE(SUBSTITUTE(SUBSTITUTE(SUBSTITUTE(C4,"{MONTANT}",TEXT(Inscriptions!N108,"#,##0")&amp;" MRU"),"{PRENOM}",Inscriptions!C108),"{NOM}",Inscriptions!B108),"{RETARD}",TEXT(Inscriptions!S108,"0")),SUBSTITUTE(SUBSTITUTE(SUBSTITUTE(SUBSTITUTE(SUBSTITUTE(C3,"{MONTANT}",TEXT(Inscriptions!N108,"#,##0")&amp;" MRU"),"{PRENOM}",Inscriptions!C108),"{NOM}",Inscriptions!B108),"{PRESTATION}",E114),"{DATE_LIMITE}",IF(Inscriptions!R108="","non définie",TEXT(Inscriptions!R108,"DD/MM/YYYY"))))))</f>
        <v>Bonjour, ceci est un rappel de la Fiveur Academy. Le paiement de ,0 MRU pour l'inscription de Mohamed KOÏTA (Football) est en attente. Date limite : non définie. Merci de régulariser. Cordialement, Fiveur Academy.</v>
      </c>
    </row>
    <row r="115" spans="1:10">
      <c r="A115" s="26">
        <f>IF(Inscriptions!B109="","",Inscriptions!A109)</f>
        <v>107</v>
      </c>
      <c r="B115" s="26" t="str">
        <f>IF(Inscriptions!B109="","",Inscriptions!B109)</f>
        <v>KOÏTA</v>
      </c>
      <c r="C115" s="26" t="str">
        <f>IF(Inscriptions!B109="","",Inscriptions!C109)</f>
        <v>Youba</v>
      </c>
      <c r="D115" s="26" t="str">
        <f>IF(Inscriptions!B109="","",Inscriptions!G109)</f>
        <v>+222 46 46 65 50</v>
      </c>
      <c r="E115" s="26" t="str">
        <f>IF(Inscriptions!B109="","",IF(AND(Inscriptions!I109="Oui",Inscriptions!J109="Oui"),"Football + Loisirs",IF(Inscriptions!I109="Oui","Football",IF(Inscriptions!J109="Oui","Centre Loisirs",""))))</f>
        <v>Football</v>
      </c>
      <c r="F115" s="26">
        <f>IF(Inscriptions!B109="","",Inscriptions!N109)</f>
        <v>0</v>
      </c>
      <c r="G115" s="26" t="str">
        <f>IF(Inscriptions!B109="","",Inscriptions!O109)</f>
        <v>Partiel</v>
      </c>
      <c r="H115" s="26" t="str">
        <f ca="1">IF(Inscriptions!B109="","",IF(Inscriptions!S109="","—",Inscriptions!S109&amp;" j"))</f>
        <v>—</v>
      </c>
      <c r="I115" s="26" t="str">
        <f ca="1">IF(Inscriptions!B109="","",IF(Inscriptions!O109="Payé","✅ Confirmation",IF(AND(Inscriptions!S109&lt;&gt;"",Inscriptions!S109&gt;0),"🔴 Retard","🟡 Rappel")))</f>
        <v>🟡 Rappel</v>
      </c>
      <c r="J115" s="27" t="str">
        <f ca="1">IF(Inscriptions!B109="","",IF(Inscriptions!O109="Payé",SUBSTITUTE(SUBSTITUTE(SUBSTITUTE(SUBSTITUTE(C5,"{MONTANT}",TEXT(Inscriptions!N109,"#,##0")&amp;" MRU"),"{PRENOM}",Inscriptions!C109),"{NOM}",Inscriptions!B109),"{PRESTATION}",E115),IF(AND(Inscriptions!S109&lt;&gt;"",Inscriptions!S109&gt;0),SUBSTITUTE(SUBSTITUTE(SUBSTITUTE(SUBSTITUTE(C4,"{MONTANT}",TEXT(Inscriptions!N109,"#,##0")&amp;" MRU"),"{PRENOM}",Inscriptions!C109),"{NOM}",Inscriptions!B109),"{RETARD}",TEXT(Inscriptions!S109,"0")),SUBSTITUTE(SUBSTITUTE(SUBSTITUTE(SUBSTITUTE(SUBSTITUTE(C3,"{MONTANT}",TEXT(Inscriptions!N109,"#,##0")&amp;" MRU"),"{PRENOM}",Inscriptions!C109),"{NOM}",Inscriptions!B109),"{PRESTATION}",E115),"{DATE_LIMITE}",IF(Inscriptions!R109="","non définie",TEXT(Inscriptions!R109,"DD/MM/YYYY"))))))</f>
        <v>Bonjour, ceci est un rappel de la Fiveur Academy. Le paiement de ,0 MRU pour l'inscription de Youba KOÏTA (Football) est en attente. Date limite : non définie. Merci de régulariser. Cordialement, Fiveur Academy.</v>
      </c>
    </row>
    <row r="116" spans="1:10">
      <c r="A116" s="28">
        <f>IF(Inscriptions!B110="","",Inscriptions!A110)</f>
        <v>108</v>
      </c>
      <c r="B116" s="28" t="str">
        <f>IF(Inscriptions!B110="","",Inscriptions!B110)</f>
        <v>N'DIAYE</v>
      </c>
      <c r="C116" s="28" t="str">
        <f>IF(Inscriptions!B110="","",Inscriptions!C110)</f>
        <v>Mohamed</v>
      </c>
      <c r="D116" s="28" t="str">
        <f>IF(Inscriptions!B110="","",Inscriptions!G110)</f>
        <v>+222 36 47 67 84</v>
      </c>
      <c r="E116" s="28" t="str">
        <f>IF(Inscriptions!B110="","",IF(AND(Inscriptions!I110="Oui",Inscriptions!J110="Oui"),"Football + Loisirs",IF(Inscriptions!I110="Oui","Football",IF(Inscriptions!J110="Oui","Centre Loisirs",""))))</f>
        <v>Football</v>
      </c>
      <c r="F116" s="28">
        <f>IF(Inscriptions!B110="","",Inscriptions!N110)</f>
        <v>0</v>
      </c>
      <c r="G116" s="28" t="str">
        <f>IF(Inscriptions!B110="","",Inscriptions!O110)</f>
        <v>Payé</v>
      </c>
      <c r="H116" s="28" t="str">
        <f ca="1">IF(Inscriptions!B110="","",IF(Inscriptions!S110="","—",Inscriptions!S110&amp;" j"))</f>
        <v>—</v>
      </c>
      <c r="I116" s="28" t="str">
        <f>IF(Inscriptions!B110="","",IF(Inscriptions!O110="Payé","✅ Confirmation",IF(AND(Inscriptions!S110&lt;&gt;"",Inscriptions!S110&gt;0),"🔴 Retard","🟡 Rappel")))</f>
        <v>✅ Confirmation</v>
      </c>
      <c r="J116" s="29" t="str">
        <f>IF(Inscriptions!B110="","",IF(Inscriptions!O110="Payé",SUBSTITUTE(SUBSTITUTE(SUBSTITUTE(SUBSTITUTE(C5,"{MONTANT}",TEXT(Inscriptions!N110,"#,##0")&amp;" MRU"),"{PRENOM}",Inscriptions!C110),"{NOM}",Inscriptions!B110),"{PRESTATION}",E116),IF(AND(Inscriptions!S110&lt;&gt;"",Inscriptions!S110&gt;0),SUBSTITUTE(SUBSTITUTE(SUBSTITUTE(SUBSTITUTE(C4,"{MONTANT}",TEXT(Inscriptions!N110,"#,##0")&amp;" MRU"),"{PRENOM}",Inscriptions!C110),"{NOM}",Inscriptions!B110),"{RETARD}",TEXT(Inscriptions!S110,"0")),SUBSTITUTE(SUBSTITUTE(SUBSTITUTE(SUBSTITUTE(SUBSTITUTE(C3,"{MONTANT}",TEXT(Inscriptions!N110,"#,##0")&amp;" MRU"),"{PRENOM}",Inscriptions!C110),"{NOM}",Inscriptions!B110),"{PRESTATION}",E116),"{DATE_LIMITE}",IF(Inscriptions!R110="","non définie",TEXT(Inscriptions!R110,"DD/MM/YYYY"))))))</f>
        <v>✅ Bonjour, la Fiveur Academy confirme la réception du paiement de ,0 MRU pour Mohamed N'DIAYE. Inscription validée pour : Football. Merci de votre confiance ! ⚽ Fiveur Academy — Since 2023.</v>
      </c>
    </row>
    <row r="117" spans="1:10">
      <c r="A117" s="26">
        <f>IF(Inscriptions!B111="","",Inscriptions!A111)</f>
        <v>109</v>
      </c>
      <c r="B117" s="26" t="str">
        <f>IF(Inscriptions!B111="","",Inscriptions!B111)</f>
        <v>OUBEID</v>
      </c>
      <c r="C117" s="26" t="str">
        <f>IF(Inscriptions!B111="","",Inscriptions!C111)</f>
        <v>Ilyas</v>
      </c>
      <c r="D117" s="26" t="str">
        <f>IF(Inscriptions!B111="","",Inscriptions!G111)</f>
        <v>+222 36 32 51 16</v>
      </c>
      <c r="E117" s="26" t="str">
        <f>IF(Inscriptions!B111="","",IF(AND(Inscriptions!I111="Oui",Inscriptions!J111="Oui"),"Football + Loisirs",IF(Inscriptions!I111="Oui","Football",IF(Inscriptions!J111="Oui","Centre Loisirs",""))))</f>
        <v>Football</v>
      </c>
      <c r="F117" s="26">
        <f>IF(Inscriptions!B111="","",Inscriptions!N111)</f>
        <v>0</v>
      </c>
      <c r="G117" s="26" t="str">
        <f>IF(Inscriptions!B111="","",Inscriptions!O111)</f>
        <v>Payé</v>
      </c>
      <c r="H117" s="26" t="str">
        <f ca="1">IF(Inscriptions!B111="","",IF(Inscriptions!S111="","—",Inscriptions!S111&amp;" j"))</f>
        <v>—</v>
      </c>
      <c r="I117" s="26" t="str">
        <f>IF(Inscriptions!B111="","",IF(Inscriptions!O111="Payé","✅ Confirmation",IF(AND(Inscriptions!S111&lt;&gt;"",Inscriptions!S111&gt;0),"🔴 Retard","🟡 Rappel")))</f>
        <v>✅ Confirmation</v>
      </c>
      <c r="J117" s="27" t="str">
        <f>IF(Inscriptions!B111="","",IF(Inscriptions!O111="Payé",SUBSTITUTE(SUBSTITUTE(SUBSTITUTE(SUBSTITUTE(C5,"{MONTANT}",TEXT(Inscriptions!N111,"#,##0")&amp;" MRU"),"{PRENOM}",Inscriptions!C111),"{NOM}",Inscriptions!B111),"{PRESTATION}",E117),IF(AND(Inscriptions!S111&lt;&gt;"",Inscriptions!S111&gt;0),SUBSTITUTE(SUBSTITUTE(SUBSTITUTE(SUBSTITUTE(C4,"{MONTANT}",TEXT(Inscriptions!N111,"#,##0")&amp;" MRU"),"{PRENOM}",Inscriptions!C111),"{NOM}",Inscriptions!B111),"{RETARD}",TEXT(Inscriptions!S111,"0")),SUBSTITUTE(SUBSTITUTE(SUBSTITUTE(SUBSTITUTE(SUBSTITUTE(C3,"{MONTANT}",TEXT(Inscriptions!N111,"#,##0")&amp;" MRU"),"{PRENOM}",Inscriptions!C111),"{NOM}",Inscriptions!B111),"{PRESTATION}",E117),"{DATE_LIMITE}",IF(Inscriptions!R111="","non définie",TEXT(Inscriptions!R111,"DD/MM/YYYY"))))))</f>
        <v>✅ Bonjour, la Fiveur Academy confirme la réception du paiement de ,0 MRU pour Ilyas OUBEID. Inscription validée pour : Football. Merci de votre confiance ! ⚽ Fiveur Academy — Since 2023.</v>
      </c>
    </row>
    <row r="118" spans="1:10">
      <c r="A118" s="28">
        <f>IF(Inscriptions!B112="","",Inscriptions!A112)</f>
        <v>110</v>
      </c>
      <c r="B118" s="28" t="str">
        <f>IF(Inscriptions!B112="","",Inscriptions!B112)</f>
        <v>OUBEID</v>
      </c>
      <c r="C118" s="28" t="str">
        <f>IF(Inscriptions!B112="","",Inscriptions!C112)</f>
        <v>Emine</v>
      </c>
      <c r="D118" s="28" t="str">
        <f>IF(Inscriptions!B112="","",Inscriptions!G112)</f>
        <v>+222 36 32 51 16</v>
      </c>
      <c r="E118" s="28" t="str">
        <f>IF(Inscriptions!B112="","",IF(AND(Inscriptions!I112="Oui",Inscriptions!J112="Oui"),"Football + Loisirs",IF(Inscriptions!I112="Oui","Football",IF(Inscriptions!J112="Oui","Centre Loisirs",""))))</f>
        <v>Football</v>
      </c>
      <c r="F118" s="28">
        <f>IF(Inscriptions!B112="","",Inscriptions!N112)</f>
        <v>0</v>
      </c>
      <c r="G118" s="28" t="str">
        <f>IF(Inscriptions!B112="","",Inscriptions!O112)</f>
        <v>Payé</v>
      </c>
      <c r="H118" s="28" t="str">
        <f ca="1">IF(Inscriptions!B112="","",IF(Inscriptions!S112="","—",Inscriptions!S112&amp;" j"))</f>
        <v>—</v>
      </c>
      <c r="I118" s="28" t="str">
        <f>IF(Inscriptions!B112="","",IF(Inscriptions!O112="Payé","✅ Confirmation",IF(AND(Inscriptions!S112&lt;&gt;"",Inscriptions!S112&gt;0),"🔴 Retard","🟡 Rappel")))</f>
        <v>✅ Confirmation</v>
      </c>
      <c r="J118" s="29" t="str">
        <f>IF(Inscriptions!B112="","",IF(Inscriptions!O112="Payé",SUBSTITUTE(SUBSTITUTE(SUBSTITUTE(SUBSTITUTE(C5,"{MONTANT}",TEXT(Inscriptions!N112,"#,##0")&amp;" MRU"),"{PRENOM}",Inscriptions!C112),"{NOM}",Inscriptions!B112),"{PRESTATION}",E118),IF(AND(Inscriptions!S112&lt;&gt;"",Inscriptions!S112&gt;0),SUBSTITUTE(SUBSTITUTE(SUBSTITUTE(SUBSTITUTE(C4,"{MONTANT}",TEXT(Inscriptions!N112,"#,##0")&amp;" MRU"),"{PRENOM}",Inscriptions!C112),"{NOM}",Inscriptions!B112),"{RETARD}",TEXT(Inscriptions!S112,"0")),SUBSTITUTE(SUBSTITUTE(SUBSTITUTE(SUBSTITUTE(SUBSTITUTE(C3,"{MONTANT}",TEXT(Inscriptions!N112,"#,##0")&amp;" MRU"),"{PRENOM}",Inscriptions!C112),"{NOM}",Inscriptions!B112),"{PRESTATION}",E118),"{DATE_LIMITE}",IF(Inscriptions!R112="","non définie",TEXT(Inscriptions!R112,"DD/MM/YYYY"))))))</f>
        <v>✅ Bonjour, la Fiveur Academy confirme la réception du paiement de ,0 MRU pour Emine OUBEID. Inscription validée pour : Football. Merci de votre confiance ! ⚽ Fiveur Academy — Since 2023.</v>
      </c>
    </row>
    <row r="119" spans="1:10">
      <c r="A119" s="26">
        <f>IF(Inscriptions!B113="","",Inscriptions!A113)</f>
        <v>111</v>
      </c>
      <c r="B119" s="26" t="str">
        <f>IF(Inscriptions!B113="","",Inscriptions!B113)</f>
        <v>KEBÉ</v>
      </c>
      <c r="C119" s="26" t="str">
        <f>IF(Inscriptions!B113="","",Inscriptions!C113)</f>
        <v>Sidi</v>
      </c>
      <c r="D119" s="26" t="str">
        <f>IF(Inscriptions!B113="","",Inscriptions!G113)</f>
        <v>+222 48 27 55 21</v>
      </c>
      <c r="E119" s="26" t="str">
        <f>IF(Inscriptions!B113="","",IF(AND(Inscriptions!I113="Oui",Inscriptions!J113="Oui"),"Football + Loisirs",IF(Inscriptions!I113="Oui","Football",IF(Inscriptions!J113="Oui","Centre Loisirs",""))))</f>
        <v>Football</v>
      </c>
      <c r="F119" s="26">
        <f>IF(Inscriptions!B113="","",Inscriptions!N113)</f>
        <v>0</v>
      </c>
      <c r="G119" s="26" t="str">
        <f>IF(Inscriptions!B113="","",Inscriptions!O113)</f>
        <v>Payé</v>
      </c>
      <c r="H119" s="26" t="str">
        <f ca="1">IF(Inscriptions!B113="","",IF(Inscriptions!S113="","—",Inscriptions!S113&amp;" j"))</f>
        <v>—</v>
      </c>
      <c r="I119" s="26" t="str">
        <f>IF(Inscriptions!B113="","",IF(Inscriptions!O113="Payé","✅ Confirmation",IF(AND(Inscriptions!S113&lt;&gt;"",Inscriptions!S113&gt;0),"🔴 Retard","🟡 Rappel")))</f>
        <v>✅ Confirmation</v>
      </c>
      <c r="J119" s="27" t="str">
        <f>IF(Inscriptions!B113="","",IF(Inscriptions!O113="Payé",SUBSTITUTE(SUBSTITUTE(SUBSTITUTE(SUBSTITUTE(C5,"{MONTANT}",TEXT(Inscriptions!N113,"#,##0")&amp;" MRU"),"{PRENOM}",Inscriptions!C113),"{NOM}",Inscriptions!B113),"{PRESTATION}",E119),IF(AND(Inscriptions!S113&lt;&gt;"",Inscriptions!S113&gt;0),SUBSTITUTE(SUBSTITUTE(SUBSTITUTE(SUBSTITUTE(C4,"{MONTANT}",TEXT(Inscriptions!N113,"#,##0")&amp;" MRU"),"{PRENOM}",Inscriptions!C113),"{NOM}",Inscriptions!B113),"{RETARD}",TEXT(Inscriptions!S113,"0")),SUBSTITUTE(SUBSTITUTE(SUBSTITUTE(SUBSTITUTE(SUBSTITUTE(C3,"{MONTANT}",TEXT(Inscriptions!N113,"#,##0")&amp;" MRU"),"{PRENOM}",Inscriptions!C113),"{NOM}",Inscriptions!B113),"{PRESTATION}",E119),"{DATE_LIMITE}",IF(Inscriptions!R113="","non définie",TEXT(Inscriptions!R113,"DD/MM/YYYY"))))))</f>
        <v>✅ Bonjour, la Fiveur Academy confirme la réception du paiement de ,0 MRU pour Sidi KEBÉ. Inscription validée pour : Football. Merci de votre confiance ! ⚽ Fiveur Academy — Since 2023.</v>
      </c>
    </row>
    <row r="120" spans="1:10">
      <c r="A120" s="28">
        <f>IF(Inscriptions!B114="","",Inscriptions!A114)</f>
        <v>112</v>
      </c>
      <c r="B120" s="28" t="str">
        <f>IF(Inscriptions!B114="","",Inscriptions!B114)</f>
        <v>BA</v>
      </c>
      <c r="C120" s="28" t="str">
        <f>IF(Inscriptions!B114="","",Inscriptions!C114)</f>
        <v>Abu Bakr</v>
      </c>
      <c r="D120" s="28" t="str">
        <f>IF(Inscriptions!B114="","",Inscriptions!G114)</f>
        <v>+222 47 46 89 90</v>
      </c>
      <c r="E120" s="28" t="str">
        <f>IF(Inscriptions!B114="","",IF(AND(Inscriptions!I114="Oui",Inscriptions!J114="Oui"),"Football + Loisirs",IF(Inscriptions!I114="Oui","Football",IF(Inscriptions!J114="Oui","Centre Loisirs",""))))</f>
        <v>Football</v>
      </c>
      <c r="F120" s="28">
        <f>IF(Inscriptions!B114="","",Inscriptions!N114)</f>
        <v>0</v>
      </c>
      <c r="G120" s="28" t="str">
        <f>IF(Inscriptions!B114="","",Inscriptions!O114)</f>
        <v>Payé</v>
      </c>
      <c r="H120" s="28" t="str">
        <f ca="1">IF(Inscriptions!B114="","",IF(Inscriptions!S114="","—",Inscriptions!S114&amp;" j"))</f>
        <v>—</v>
      </c>
      <c r="I120" s="28" t="str">
        <f>IF(Inscriptions!B114="","",IF(Inscriptions!O114="Payé","✅ Confirmation",IF(AND(Inscriptions!S114&lt;&gt;"",Inscriptions!S114&gt;0),"🔴 Retard","🟡 Rappel")))</f>
        <v>✅ Confirmation</v>
      </c>
      <c r="J120" s="29" t="str">
        <f>IF(Inscriptions!B114="","",IF(Inscriptions!O114="Payé",SUBSTITUTE(SUBSTITUTE(SUBSTITUTE(SUBSTITUTE(C5,"{MONTANT}",TEXT(Inscriptions!N114,"#,##0")&amp;" MRU"),"{PRENOM}",Inscriptions!C114),"{NOM}",Inscriptions!B114),"{PRESTATION}",E120),IF(AND(Inscriptions!S114&lt;&gt;"",Inscriptions!S114&gt;0),SUBSTITUTE(SUBSTITUTE(SUBSTITUTE(SUBSTITUTE(C4,"{MONTANT}",TEXT(Inscriptions!N114,"#,##0")&amp;" MRU"),"{PRENOM}",Inscriptions!C114),"{NOM}",Inscriptions!B114),"{RETARD}",TEXT(Inscriptions!S114,"0")),SUBSTITUTE(SUBSTITUTE(SUBSTITUTE(SUBSTITUTE(SUBSTITUTE(C3,"{MONTANT}",TEXT(Inscriptions!N114,"#,##0")&amp;" MRU"),"{PRENOM}",Inscriptions!C114),"{NOM}",Inscriptions!B114),"{PRESTATION}",E120),"{DATE_LIMITE}",IF(Inscriptions!R114="","non définie",TEXT(Inscriptions!R114,"DD/MM/YYYY"))))))</f>
        <v>✅ Bonjour, la Fiveur Academy confirme la réception du paiement de ,0 MRU pour Abu Bakr BA. Inscription validée pour : Football. Merci de votre confiance ! ⚽ Fiveur Academy — Since 2023.</v>
      </c>
    </row>
    <row r="121" spans="1:10">
      <c r="A121" s="26">
        <f>IF(Inscriptions!B115="","",Inscriptions!A115)</f>
        <v>113</v>
      </c>
      <c r="B121" s="26" t="str">
        <f>IF(Inscriptions!B115="","",Inscriptions!B115)</f>
        <v xml:space="preserve">BA </v>
      </c>
      <c r="C121" s="26" t="str">
        <f>IF(Inscriptions!B115="","",Inscriptions!C115)</f>
        <v>Oumar Ardo</v>
      </c>
      <c r="D121" s="26" t="str">
        <f>IF(Inscriptions!B115="","",Inscriptions!G115)</f>
        <v>+222 47 46 89 90</v>
      </c>
      <c r="E121" s="26" t="str">
        <f>IF(Inscriptions!B115="","",IF(AND(Inscriptions!I115="Oui",Inscriptions!J115="Oui"),"Football + Loisirs",IF(Inscriptions!I115="Oui","Football",IF(Inscriptions!J115="Oui","Centre Loisirs",""))))</f>
        <v>Football</v>
      </c>
      <c r="F121" s="26">
        <f>IF(Inscriptions!B115="","",Inscriptions!N115)</f>
        <v>0</v>
      </c>
      <c r="G121" s="26" t="str">
        <f>IF(Inscriptions!B115="","",Inscriptions!O115)</f>
        <v>Payé</v>
      </c>
      <c r="H121" s="26" t="str">
        <f ca="1">IF(Inscriptions!B115="","",IF(Inscriptions!S115="","—",Inscriptions!S115&amp;" j"))</f>
        <v>—</v>
      </c>
      <c r="I121" s="26" t="str">
        <f>IF(Inscriptions!B115="","",IF(Inscriptions!O115="Payé","✅ Confirmation",IF(AND(Inscriptions!S115&lt;&gt;"",Inscriptions!S115&gt;0),"🔴 Retard","🟡 Rappel")))</f>
        <v>✅ Confirmation</v>
      </c>
      <c r="J121" s="27" t="str">
        <f>IF(Inscriptions!B115="","",IF(Inscriptions!O115="Payé",SUBSTITUTE(SUBSTITUTE(SUBSTITUTE(SUBSTITUTE(C5,"{MONTANT}",TEXT(Inscriptions!N115,"#,##0")&amp;" MRU"),"{PRENOM}",Inscriptions!C115),"{NOM}",Inscriptions!B115),"{PRESTATION}",E121),IF(AND(Inscriptions!S115&lt;&gt;"",Inscriptions!S115&gt;0),SUBSTITUTE(SUBSTITUTE(SUBSTITUTE(SUBSTITUTE(C4,"{MONTANT}",TEXT(Inscriptions!N115,"#,##0")&amp;" MRU"),"{PRENOM}",Inscriptions!C115),"{NOM}",Inscriptions!B115),"{RETARD}",TEXT(Inscriptions!S115,"0")),SUBSTITUTE(SUBSTITUTE(SUBSTITUTE(SUBSTITUTE(SUBSTITUTE(C3,"{MONTANT}",TEXT(Inscriptions!N115,"#,##0")&amp;" MRU"),"{PRENOM}",Inscriptions!C115),"{NOM}",Inscriptions!B115),"{PRESTATION}",E121),"{DATE_LIMITE}",IF(Inscriptions!R115="","non définie",TEXT(Inscriptions!R115,"DD/MM/YYYY"))))))</f>
        <v>✅ Bonjour, la Fiveur Academy confirme la réception du paiement de ,0 MRU pour Oumar Ardo BA . Inscription validée pour : Football. Merci de votre confiance ! ⚽ Fiveur Academy — Since 2023.</v>
      </c>
    </row>
    <row r="122" spans="1:10">
      <c r="A122" s="28">
        <f>IF(Inscriptions!B116="","",Inscriptions!A116)</f>
        <v>114</v>
      </c>
      <c r="B122" s="28" t="str">
        <f>IF(Inscriptions!B116="","",Inscriptions!B116)</f>
        <v>GUEYE</v>
      </c>
      <c r="C122" s="28" t="str">
        <f>IF(Inscriptions!B116="","",Inscriptions!C116)</f>
        <v>Penda</v>
      </c>
      <c r="D122" s="28" t="str">
        <f>IF(Inscriptions!B116="","",Inscriptions!G116)</f>
        <v>+222 31 31 52 00</v>
      </c>
      <c r="E122" s="28" t="str">
        <f>IF(Inscriptions!B116="","",IF(AND(Inscriptions!I116="Oui",Inscriptions!J116="Oui"),"Football + Loisirs",IF(Inscriptions!I116="Oui","Football",IF(Inscriptions!J116="Oui","Centre Loisirs",""))))</f>
        <v>Football</v>
      </c>
      <c r="F122" s="28">
        <f>IF(Inscriptions!B116="","",Inscriptions!N116)</f>
        <v>0</v>
      </c>
      <c r="G122" s="28" t="str">
        <f>IF(Inscriptions!B116="","",Inscriptions!O116)</f>
        <v>Payé</v>
      </c>
      <c r="H122" s="28" t="str">
        <f ca="1">IF(Inscriptions!B116="","",IF(Inscriptions!S116="","—",Inscriptions!S116&amp;" j"))</f>
        <v>—</v>
      </c>
      <c r="I122" s="28" t="str">
        <f>IF(Inscriptions!B116="","",IF(Inscriptions!O116="Payé","✅ Confirmation",IF(AND(Inscriptions!S116&lt;&gt;"",Inscriptions!S116&gt;0),"🔴 Retard","🟡 Rappel")))</f>
        <v>✅ Confirmation</v>
      </c>
      <c r="J122" s="29" t="str">
        <f>IF(Inscriptions!B116="","",IF(Inscriptions!O116="Payé",SUBSTITUTE(SUBSTITUTE(SUBSTITUTE(SUBSTITUTE(C5,"{MONTANT}",TEXT(Inscriptions!N116,"#,##0")&amp;" MRU"),"{PRENOM}",Inscriptions!C116),"{NOM}",Inscriptions!B116),"{PRESTATION}",E122),IF(AND(Inscriptions!S116&lt;&gt;"",Inscriptions!S116&gt;0),SUBSTITUTE(SUBSTITUTE(SUBSTITUTE(SUBSTITUTE(C4,"{MONTANT}",TEXT(Inscriptions!N116,"#,##0")&amp;" MRU"),"{PRENOM}",Inscriptions!C116),"{NOM}",Inscriptions!B116),"{RETARD}",TEXT(Inscriptions!S116,"0")),SUBSTITUTE(SUBSTITUTE(SUBSTITUTE(SUBSTITUTE(SUBSTITUTE(C3,"{MONTANT}",TEXT(Inscriptions!N116,"#,##0")&amp;" MRU"),"{PRENOM}",Inscriptions!C116),"{NOM}",Inscriptions!B116),"{PRESTATION}",E122),"{DATE_LIMITE}",IF(Inscriptions!R116="","non définie",TEXT(Inscriptions!R116,"DD/MM/YYYY"))))))</f>
        <v>✅ Bonjour, la Fiveur Academy confirme la réception du paiement de ,0 MRU pour Penda GUEYE. Inscription validée pour : Football. Merci de votre confiance ! ⚽ Fiveur Academy — Since 2023.</v>
      </c>
    </row>
    <row r="123" spans="1:10">
      <c r="A123" s="26">
        <f>IF(Inscriptions!B117="","",Inscriptions!A117)</f>
        <v>115</v>
      </c>
      <c r="B123" s="26" t="str">
        <f>IF(Inscriptions!B117="","",Inscriptions!B117)</f>
        <v>GUEYE</v>
      </c>
      <c r="C123" s="26" t="str">
        <f>IF(Inscriptions!B117="","",Inscriptions!C117)</f>
        <v>Maymouna</v>
      </c>
      <c r="D123" s="26" t="str">
        <f>IF(Inscriptions!B117="","",Inscriptions!G117)</f>
        <v>+222 31 31 52 00</v>
      </c>
      <c r="E123" s="26" t="str">
        <f>IF(Inscriptions!B117="","",IF(AND(Inscriptions!I117="Oui",Inscriptions!J117="Oui"),"Football + Loisirs",IF(Inscriptions!I117="Oui","Football",IF(Inscriptions!J117="Oui","Centre Loisirs",""))))</f>
        <v>Football</v>
      </c>
      <c r="F123" s="26">
        <f>IF(Inscriptions!B117="","",Inscriptions!N117)</f>
        <v>0</v>
      </c>
      <c r="G123" s="26" t="str">
        <f>IF(Inscriptions!B117="","",Inscriptions!O117)</f>
        <v>Payé</v>
      </c>
      <c r="H123" s="26" t="str">
        <f ca="1">IF(Inscriptions!B117="","",IF(Inscriptions!S117="","—",Inscriptions!S117&amp;" j"))</f>
        <v>—</v>
      </c>
      <c r="I123" s="26" t="str">
        <f>IF(Inscriptions!B117="","",IF(Inscriptions!O117="Payé","✅ Confirmation",IF(AND(Inscriptions!S117&lt;&gt;"",Inscriptions!S117&gt;0),"🔴 Retard","🟡 Rappel")))</f>
        <v>✅ Confirmation</v>
      </c>
      <c r="J123" s="27" t="str">
        <f>IF(Inscriptions!B117="","",IF(Inscriptions!O117="Payé",SUBSTITUTE(SUBSTITUTE(SUBSTITUTE(SUBSTITUTE(C5,"{MONTANT}",TEXT(Inscriptions!N117,"#,##0")&amp;" MRU"),"{PRENOM}",Inscriptions!C117),"{NOM}",Inscriptions!B117),"{PRESTATION}",E123),IF(AND(Inscriptions!S117&lt;&gt;"",Inscriptions!S117&gt;0),SUBSTITUTE(SUBSTITUTE(SUBSTITUTE(SUBSTITUTE(C4,"{MONTANT}",TEXT(Inscriptions!N117,"#,##0")&amp;" MRU"),"{PRENOM}",Inscriptions!C117),"{NOM}",Inscriptions!B117),"{RETARD}",TEXT(Inscriptions!S117,"0")),SUBSTITUTE(SUBSTITUTE(SUBSTITUTE(SUBSTITUTE(SUBSTITUTE(C3,"{MONTANT}",TEXT(Inscriptions!N117,"#,##0")&amp;" MRU"),"{PRENOM}",Inscriptions!C117),"{NOM}",Inscriptions!B117),"{PRESTATION}",E123),"{DATE_LIMITE}",IF(Inscriptions!R117="","non définie",TEXT(Inscriptions!R117,"DD/MM/YYYY"))))))</f>
        <v>✅ Bonjour, la Fiveur Academy confirme la réception du paiement de ,0 MRU pour Maymouna GUEYE. Inscription validée pour : Football. Merci de votre confiance ! ⚽ Fiveur Academy — Since 2023.</v>
      </c>
    </row>
    <row r="124" spans="1:10">
      <c r="A124" s="28">
        <f>IF(Inscriptions!B118="","",Inscriptions!A118)</f>
        <v>116</v>
      </c>
      <c r="B124" s="28" t="str">
        <f>IF(Inscriptions!B118="","",Inscriptions!B118)</f>
        <v>SIDI MAOULOUD</v>
      </c>
      <c r="C124" s="28" t="str">
        <f>IF(Inscriptions!B118="","",Inscriptions!C118)</f>
        <v>Mahfoud</v>
      </c>
      <c r="D124" s="28" t="str">
        <f>IF(Inscriptions!B118="","",Inscriptions!G118)</f>
        <v>+222 36 29 01 29</v>
      </c>
      <c r="E124" s="28" t="str">
        <f>IF(Inscriptions!B118="","",IF(AND(Inscriptions!I118="Oui",Inscriptions!J118="Oui"),"Football + Loisirs",IF(Inscriptions!I118="Oui","Football",IF(Inscriptions!J118="Oui","Centre Loisirs",""))))</f>
        <v>Football</v>
      </c>
      <c r="F124" s="28">
        <f>IF(Inscriptions!B118="","",Inscriptions!N118)</f>
        <v>0</v>
      </c>
      <c r="G124" s="28" t="str">
        <f>IF(Inscriptions!B118="","",Inscriptions!O118)</f>
        <v>Payé</v>
      </c>
      <c r="H124" s="28" t="str">
        <f ca="1">IF(Inscriptions!B118="","",IF(Inscriptions!S118="","—",Inscriptions!S118&amp;" j"))</f>
        <v>—</v>
      </c>
      <c r="I124" s="28" t="str">
        <f>IF(Inscriptions!B118="","",IF(Inscriptions!O118="Payé","✅ Confirmation",IF(AND(Inscriptions!S118&lt;&gt;"",Inscriptions!S118&gt;0),"🔴 Retard","🟡 Rappel")))</f>
        <v>✅ Confirmation</v>
      </c>
      <c r="J124" s="29" t="str">
        <f>IF(Inscriptions!B118="","",IF(Inscriptions!O118="Payé",SUBSTITUTE(SUBSTITUTE(SUBSTITUTE(SUBSTITUTE(C5,"{MONTANT}",TEXT(Inscriptions!N118,"#,##0")&amp;" MRU"),"{PRENOM}",Inscriptions!C118),"{NOM}",Inscriptions!B118),"{PRESTATION}",E124),IF(AND(Inscriptions!S118&lt;&gt;"",Inscriptions!S118&gt;0),SUBSTITUTE(SUBSTITUTE(SUBSTITUTE(SUBSTITUTE(C4,"{MONTANT}",TEXT(Inscriptions!N118,"#,##0")&amp;" MRU"),"{PRENOM}",Inscriptions!C118),"{NOM}",Inscriptions!B118),"{RETARD}",TEXT(Inscriptions!S118,"0")),SUBSTITUTE(SUBSTITUTE(SUBSTITUTE(SUBSTITUTE(SUBSTITUTE(C3,"{MONTANT}",TEXT(Inscriptions!N118,"#,##0")&amp;" MRU"),"{PRENOM}",Inscriptions!C118),"{NOM}",Inscriptions!B118),"{PRESTATION}",E124),"{DATE_LIMITE}",IF(Inscriptions!R118="","non définie",TEXT(Inscriptions!R118,"DD/MM/YYYY"))))))</f>
        <v>✅ Bonjour, la Fiveur Academy confirme la réception du paiement de ,0 MRU pour Mahfoud SIDI MAOULOUD. Inscription validée pour : Football. Merci de votre confiance ! ⚽ Fiveur Academy — Since 2023.</v>
      </c>
    </row>
    <row r="125" spans="1:10">
      <c r="A125" s="26">
        <f>IF(Inscriptions!B119="","",Inscriptions!A119)</f>
        <v>117</v>
      </c>
      <c r="B125" s="26" t="str">
        <f>IF(Inscriptions!B119="","",Inscriptions!B119)</f>
        <v>FALL</v>
      </c>
      <c r="C125" s="26" t="str">
        <f>IF(Inscriptions!B119="","",Inscriptions!C119)</f>
        <v>Ali</v>
      </c>
      <c r="D125" s="26" t="str">
        <f>IF(Inscriptions!B119="","",Inscriptions!G119)</f>
        <v>+222 44 24 35 63</v>
      </c>
      <c r="E125" s="26" t="str">
        <f>IF(Inscriptions!B119="","",IF(AND(Inscriptions!I119="Oui",Inscriptions!J119="Oui"),"Football + Loisirs",IF(Inscriptions!I119="Oui","Football",IF(Inscriptions!J119="Oui","Centre Loisirs",""))))</f>
        <v>Football</v>
      </c>
      <c r="F125" s="26">
        <f>IF(Inscriptions!B119="","",Inscriptions!N119)</f>
        <v>0</v>
      </c>
      <c r="G125" s="26">
        <f>IF(Inscriptions!B119="","",Inscriptions!O119)</f>
        <v>0</v>
      </c>
      <c r="H125" s="26" t="str">
        <f ca="1">IF(Inscriptions!B119="","",IF(Inscriptions!S119="","—",Inscriptions!S119&amp;" j"))</f>
        <v>—</v>
      </c>
      <c r="I125" s="26" t="str">
        <f ca="1">IF(Inscriptions!B119="","",IF(Inscriptions!O119="Payé","✅ Confirmation",IF(AND(Inscriptions!S119&lt;&gt;"",Inscriptions!S119&gt;0),"🔴 Retard","🟡 Rappel")))</f>
        <v>🟡 Rappel</v>
      </c>
      <c r="J125" s="27" t="str">
        <f ca="1">IF(Inscriptions!B119="","",IF(Inscriptions!O119="Payé",SUBSTITUTE(SUBSTITUTE(SUBSTITUTE(SUBSTITUTE(C5,"{MONTANT}",TEXT(Inscriptions!N119,"#,##0")&amp;" MRU"),"{PRENOM}",Inscriptions!C119),"{NOM}",Inscriptions!B119),"{PRESTATION}",E125),IF(AND(Inscriptions!S119&lt;&gt;"",Inscriptions!S119&gt;0),SUBSTITUTE(SUBSTITUTE(SUBSTITUTE(SUBSTITUTE(C4,"{MONTANT}",TEXT(Inscriptions!N119,"#,##0")&amp;" MRU"),"{PRENOM}",Inscriptions!C119),"{NOM}",Inscriptions!B119),"{RETARD}",TEXT(Inscriptions!S119,"0")),SUBSTITUTE(SUBSTITUTE(SUBSTITUTE(SUBSTITUTE(SUBSTITUTE(C3,"{MONTANT}",TEXT(Inscriptions!N119,"#,##0")&amp;" MRU"),"{PRENOM}",Inscriptions!C119),"{NOM}",Inscriptions!B119),"{PRESTATION}",E125),"{DATE_LIMITE}",IF(Inscriptions!R119="","non définie",TEXT(Inscriptions!R119,"DD/MM/YYYY"))))))</f>
        <v>Bonjour, ceci est un rappel de la Fiveur Academy. Le paiement de ,0 MRU pour l'inscription de Ali FALL (Football) est en attente. Date limite : non définie. Merci de régulariser. Cordialement, Fiveur Academy.</v>
      </c>
    </row>
    <row r="126" spans="1:10">
      <c r="A126" s="28">
        <f>IF(Inscriptions!B120="","",Inscriptions!A120)</f>
        <v>118</v>
      </c>
      <c r="B126" s="28" t="str">
        <f>IF(Inscriptions!B120="","",Inscriptions!B120)</f>
        <v>SOUGOU</v>
      </c>
      <c r="C126" s="28" t="str">
        <f>IF(Inscriptions!B120="","",Inscriptions!C120)</f>
        <v>Mohamed</v>
      </c>
      <c r="D126" s="28" t="str">
        <f>IF(Inscriptions!B120="","",Inscriptions!G120)</f>
        <v>+222 30 46 66 92</v>
      </c>
      <c r="E126" s="28" t="str">
        <f>IF(Inscriptions!B120="","",IF(AND(Inscriptions!I120="Oui",Inscriptions!J120="Oui"),"Football + Loisirs",IF(Inscriptions!I120="Oui","Football",IF(Inscriptions!J120="Oui","Centre Loisirs",""))))</f>
        <v>Football</v>
      </c>
      <c r="F126" s="28">
        <f>IF(Inscriptions!B120="","",Inscriptions!N120)</f>
        <v>0</v>
      </c>
      <c r="G126" s="28" t="str">
        <f>IF(Inscriptions!B120="","",Inscriptions!O120)</f>
        <v>Partiel</v>
      </c>
      <c r="H126" s="28" t="str">
        <f ca="1">IF(Inscriptions!B120="","",IF(Inscriptions!S120="","—",Inscriptions!S120&amp;" j"))</f>
        <v>—</v>
      </c>
      <c r="I126" s="28" t="str">
        <f ca="1">IF(Inscriptions!B120="","",IF(Inscriptions!O120="Payé","✅ Confirmation",IF(AND(Inscriptions!S120&lt;&gt;"",Inscriptions!S120&gt;0),"🔴 Retard","🟡 Rappel")))</f>
        <v>🟡 Rappel</v>
      </c>
      <c r="J126" s="29" t="str">
        <f ca="1">IF(Inscriptions!B120="","",IF(Inscriptions!O120="Payé",SUBSTITUTE(SUBSTITUTE(SUBSTITUTE(SUBSTITUTE(C5,"{MONTANT}",TEXT(Inscriptions!N120,"#,##0")&amp;" MRU"),"{PRENOM}",Inscriptions!C120),"{NOM}",Inscriptions!B120),"{PRESTATION}",E126),IF(AND(Inscriptions!S120&lt;&gt;"",Inscriptions!S120&gt;0),SUBSTITUTE(SUBSTITUTE(SUBSTITUTE(SUBSTITUTE(C4,"{MONTANT}",TEXT(Inscriptions!N120,"#,##0")&amp;" MRU"),"{PRENOM}",Inscriptions!C120),"{NOM}",Inscriptions!B120),"{RETARD}",TEXT(Inscriptions!S120,"0")),SUBSTITUTE(SUBSTITUTE(SUBSTITUTE(SUBSTITUTE(SUBSTITUTE(C3,"{MONTANT}",TEXT(Inscriptions!N120,"#,##0")&amp;" MRU"),"{PRENOM}",Inscriptions!C120),"{NOM}",Inscriptions!B120),"{PRESTATION}",E126),"{DATE_LIMITE}",IF(Inscriptions!R120="","non définie",TEXT(Inscriptions!R120,"DD/MM/YYYY"))))))</f>
        <v>Bonjour, ceci est un rappel de la Fiveur Academy. Le paiement de ,0 MRU pour l'inscription de Mohamed SOUGOU (Football) est en attente. Date limite : non définie. Merci de régulariser. Cordialement, Fiveur Academy.</v>
      </c>
    </row>
    <row r="127" spans="1:10">
      <c r="A127" s="26">
        <f>IF(Inscriptions!B121="","",Inscriptions!A121)</f>
        <v>119</v>
      </c>
      <c r="B127" s="26" t="str">
        <f>IF(Inscriptions!B121="","",Inscriptions!B121)</f>
        <v>FALL</v>
      </c>
      <c r="C127" s="26" t="str">
        <f>IF(Inscriptions!B121="","",Inscriptions!C121)</f>
        <v>Brahim</v>
      </c>
      <c r="D127" s="26" t="str">
        <f>IF(Inscriptions!B121="","",Inscriptions!G121)</f>
        <v>+222 30 46 66 92</v>
      </c>
      <c r="E127" s="26" t="str">
        <f>IF(Inscriptions!B121="","",IF(AND(Inscriptions!I121="Oui",Inscriptions!J121="Oui"),"Football + Loisirs",IF(Inscriptions!I121="Oui","Football",IF(Inscriptions!J121="Oui","Centre Loisirs",""))))</f>
        <v>Football</v>
      </c>
      <c r="F127" s="26">
        <f>IF(Inscriptions!B121="","",Inscriptions!N121)</f>
        <v>0</v>
      </c>
      <c r="G127" s="26" t="str">
        <f>IF(Inscriptions!B121="","",Inscriptions!O121)</f>
        <v>Partiel</v>
      </c>
      <c r="H127" s="26" t="str">
        <f ca="1">IF(Inscriptions!B121="","",IF(Inscriptions!S121="","—",Inscriptions!S121&amp;" j"))</f>
        <v>—</v>
      </c>
      <c r="I127" s="26" t="str">
        <f ca="1">IF(Inscriptions!B121="","",IF(Inscriptions!O121="Payé","✅ Confirmation",IF(AND(Inscriptions!S121&lt;&gt;"",Inscriptions!S121&gt;0),"🔴 Retard","🟡 Rappel")))</f>
        <v>🟡 Rappel</v>
      </c>
      <c r="J127" s="27" t="str">
        <f ca="1">IF(Inscriptions!B121="","",IF(Inscriptions!O121="Payé",SUBSTITUTE(SUBSTITUTE(SUBSTITUTE(SUBSTITUTE(C5,"{MONTANT}",TEXT(Inscriptions!N121,"#,##0")&amp;" MRU"),"{PRENOM}",Inscriptions!C121),"{NOM}",Inscriptions!B121),"{PRESTATION}",E127),IF(AND(Inscriptions!S121&lt;&gt;"",Inscriptions!S121&gt;0),SUBSTITUTE(SUBSTITUTE(SUBSTITUTE(SUBSTITUTE(C4,"{MONTANT}",TEXT(Inscriptions!N121,"#,##0")&amp;" MRU"),"{PRENOM}",Inscriptions!C121),"{NOM}",Inscriptions!B121),"{RETARD}",TEXT(Inscriptions!S121,"0")),SUBSTITUTE(SUBSTITUTE(SUBSTITUTE(SUBSTITUTE(SUBSTITUTE(C3,"{MONTANT}",TEXT(Inscriptions!N121,"#,##0")&amp;" MRU"),"{PRENOM}",Inscriptions!C121),"{NOM}",Inscriptions!B121),"{PRESTATION}",E127),"{DATE_LIMITE}",IF(Inscriptions!R121="","non définie",TEXT(Inscriptions!R121,"DD/MM/YYYY"))))))</f>
        <v>Bonjour, ceci est un rappel de la Fiveur Academy. Le paiement de ,0 MRU pour l'inscription de Brahim FALL (Football) est en attente. Date limite : non définie. Merci de régulariser. Cordialement, Fiveur Academy.</v>
      </c>
    </row>
    <row r="128" spans="1:10">
      <c r="A128" s="28">
        <f>IF(Inscriptions!B122="","",Inscriptions!A122)</f>
        <v>120</v>
      </c>
      <c r="B128" s="28" t="str">
        <f>IF(Inscriptions!B122="","",Inscriptions!B122)</f>
        <v>DAKEEN</v>
      </c>
      <c r="C128" s="28" t="str">
        <f>IF(Inscriptions!B122="","",Inscriptions!C122)</f>
        <v>Mohamed</v>
      </c>
      <c r="D128" s="28" t="str">
        <f>IF(Inscriptions!B122="","",Inscriptions!G122)</f>
        <v>+222 30 73 11 52</v>
      </c>
      <c r="E128" s="28" t="str">
        <f>IF(Inscriptions!B122="","",IF(AND(Inscriptions!I122="Oui",Inscriptions!J122="Oui"),"Football + Loisirs",IF(Inscriptions!I122="Oui","Football",IF(Inscriptions!J122="Oui","Centre Loisirs",""))))</f>
        <v>Football</v>
      </c>
      <c r="F128" s="28">
        <f>IF(Inscriptions!B122="","",Inscriptions!N122)</f>
        <v>0</v>
      </c>
      <c r="G128" s="28" t="str">
        <f>IF(Inscriptions!B122="","",Inscriptions!O122)</f>
        <v>Partiel</v>
      </c>
      <c r="H128" s="28" t="str">
        <f ca="1">IF(Inscriptions!B122="","",IF(Inscriptions!S122="","—",Inscriptions!S122&amp;" j"))</f>
        <v>—</v>
      </c>
      <c r="I128" s="28" t="str">
        <f ca="1">IF(Inscriptions!B122="","",IF(Inscriptions!O122="Payé","✅ Confirmation",IF(AND(Inscriptions!S122&lt;&gt;"",Inscriptions!S122&gt;0),"🔴 Retard","🟡 Rappel")))</f>
        <v>🟡 Rappel</v>
      </c>
      <c r="J128" s="29" t="str">
        <f ca="1">IF(Inscriptions!B122="","",IF(Inscriptions!O122="Payé",SUBSTITUTE(SUBSTITUTE(SUBSTITUTE(SUBSTITUTE(C5,"{MONTANT}",TEXT(Inscriptions!N122,"#,##0")&amp;" MRU"),"{PRENOM}",Inscriptions!C122),"{NOM}",Inscriptions!B122),"{PRESTATION}",E128),IF(AND(Inscriptions!S122&lt;&gt;"",Inscriptions!S122&gt;0),SUBSTITUTE(SUBSTITUTE(SUBSTITUTE(SUBSTITUTE(C4,"{MONTANT}",TEXT(Inscriptions!N122,"#,##0")&amp;" MRU"),"{PRENOM}",Inscriptions!C122),"{NOM}",Inscriptions!B122),"{RETARD}",TEXT(Inscriptions!S122,"0")),SUBSTITUTE(SUBSTITUTE(SUBSTITUTE(SUBSTITUTE(SUBSTITUTE(C3,"{MONTANT}",TEXT(Inscriptions!N122,"#,##0")&amp;" MRU"),"{PRENOM}",Inscriptions!C122),"{NOM}",Inscriptions!B122),"{PRESTATION}",E128),"{DATE_LIMITE}",IF(Inscriptions!R122="","non définie",TEXT(Inscriptions!R122,"DD/MM/YYYY"))))))</f>
        <v>Bonjour, ceci est un rappel de la Fiveur Academy. Le paiement de ,0 MRU pour l'inscription de Mohamed DAKEEN (Football) est en attente. Date limite : non définie. Merci de régulariser. Cordialement, Fiveur Academy.</v>
      </c>
    </row>
    <row r="129" spans="1:10">
      <c r="A129" s="26">
        <f>IF(Inscriptions!B123="","",Inscriptions!A123)</f>
        <v>121</v>
      </c>
      <c r="B129" s="26" t="str">
        <f>IF(Inscriptions!B123="","",Inscriptions!B123)</f>
        <v>DAKEEN</v>
      </c>
      <c r="C129" s="26" t="str">
        <f>IF(Inscriptions!B123="","",Inscriptions!C123)</f>
        <v>Khaleb</v>
      </c>
      <c r="D129" s="26" t="str">
        <f>IF(Inscriptions!B123="","",Inscriptions!G123)</f>
        <v>+222 30 73 11 52</v>
      </c>
      <c r="E129" s="26" t="str">
        <f>IF(Inscriptions!B123="","",IF(AND(Inscriptions!I123="Oui",Inscriptions!J123="Oui"),"Football + Loisirs",IF(Inscriptions!I123="Oui","Football",IF(Inscriptions!J123="Oui","Centre Loisirs",""))))</f>
        <v>Football</v>
      </c>
      <c r="F129" s="26">
        <f>IF(Inscriptions!B123="","",Inscriptions!N123)</f>
        <v>0</v>
      </c>
      <c r="G129" s="26" t="str">
        <f>IF(Inscriptions!B123="","",Inscriptions!O123)</f>
        <v>Partiel</v>
      </c>
      <c r="H129" s="26" t="str">
        <f ca="1">IF(Inscriptions!B123="","",IF(Inscriptions!S123="","—",Inscriptions!S123&amp;" j"))</f>
        <v>—</v>
      </c>
      <c r="I129" s="26" t="str">
        <f ca="1">IF(Inscriptions!B123="","",IF(Inscriptions!O123="Payé","✅ Confirmation",IF(AND(Inscriptions!S123&lt;&gt;"",Inscriptions!S123&gt;0),"🔴 Retard","🟡 Rappel")))</f>
        <v>🟡 Rappel</v>
      </c>
      <c r="J129" s="27" t="str">
        <f ca="1">IF(Inscriptions!B123="","",IF(Inscriptions!O123="Payé",SUBSTITUTE(SUBSTITUTE(SUBSTITUTE(SUBSTITUTE(C5,"{MONTANT}",TEXT(Inscriptions!N123,"#,##0")&amp;" MRU"),"{PRENOM}",Inscriptions!C123),"{NOM}",Inscriptions!B123),"{PRESTATION}",E129),IF(AND(Inscriptions!S123&lt;&gt;"",Inscriptions!S123&gt;0),SUBSTITUTE(SUBSTITUTE(SUBSTITUTE(SUBSTITUTE(C4,"{MONTANT}",TEXT(Inscriptions!N123,"#,##0")&amp;" MRU"),"{PRENOM}",Inscriptions!C123),"{NOM}",Inscriptions!B123),"{RETARD}",TEXT(Inscriptions!S123,"0")),SUBSTITUTE(SUBSTITUTE(SUBSTITUTE(SUBSTITUTE(SUBSTITUTE(C3,"{MONTANT}",TEXT(Inscriptions!N123,"#,##0")&amp;" MRU"),"{PRENOM}",Inscriptions!C123),"{NOM}",Inscriptions!B123),"{PRESTATION}",E129),"{DATE_LIMITE}",IF(Inscriptions!R123="","non définie",TEXT(Inscriptions!R123,"DD/MM/YYYY"))))))</f>
        <v>Bonjour, ceci est un rappel de la Fiveur Academy. Le paiement de ,0 MRU pour l'inscription de Khaleb DAKEEN (Football) est en attente. Date limite : non définie. Merci de régulariser. Cordialement, Fiveur Academy.</v>
      </c>
    </row>
    <row r="130" spans="1:10">
      <c r="A130" s="28" t="str">
        <f>IF(Inscriptions!B124="","",Inscriptions!A124)</f>
        <v/>
      </c>
      <c r="B130" s="28" t="str">
        <f>IF(Inscriptions!B124="","",Inscriptions!B124)</f>
        <v/>
      </c>
      <c r="C130" s="28" t="str">
        <f>IF(Inscriptions!B124="","",Inscriptions!C124)</f>
        <v/>
      </c>
      <c r="D130" s="28" t="str">
        <f>IF(Inscriptions!B124="","",Inscriptions!G124)</f>
        <v/>
      </c>
      <c r="E130" s="28" t="str">
        <f>IF(Inscriptions!B124="","",IF(AND(Inscriptions!I124="Oui",Inscriptions!J124="Oui"),"Football + Loisirs",IF(Inscriptions!I124="Oui","Football",IF(Inscriptions!J124="Oui","Centre Loisirs",""))))</f>
        <v/>
      </c>
      <c r="F130" s="28" t="str">
        <f>IF(Inscriptions!B124="","",Inscriptions!N124)</f>
        <v/>
      </c>
      <c r="G130" s="28" t="str">
        <f>IF(Inscriptions!B124="","",Inscriptions!O124)</f>
        <v/>
      </c>
      <c r="H130" s="28" t="str">
        <f>IF(Inscriptions!B124="","",IF(Inscriptions!S124="","—",Inscriptions!S124&amp;" j"))</f>
        <v/>
      </c>
      <c r="I130" s="28" t="str">
        <f>IF(Inscriptions!B124="","",IF(Inscriptions!O124="Payé","✅ Confirmation",IF(AND(Inscriptions!S124&lt;&gt;"",Inscriptions!S124&gt;0),"🔴 Retard","🟡 Rappel")))</f>
        <v/>
      </c>
      <c r="J130" s="29" t="str">
        <f>IF(Inscriptions!B124="","",IF(Inscriptions!O124="Payé",SUBSTITUTE(SUBSTITUTE(SUBSTITUTE(SUBSTITUTE(C5,"{MONTANT}",TEXT(Inscriptions!N124,"#,##0")&amp;" MRU"),"{PRENOM}",Inscriptions!C124),"{NOM}",Inscriptions!B124),"{PRESTATION}",E130),IF(AND(Inscriptions!S124&lt;&gt;"",Inscriptions!S124&gt;0),SUBSTITUTE(SUBSTITUTE(SUBSTITUTE(SUBSTITUTE(C4,"{MONTANT}",TEXT(Inscriptions!N124,"#,##0")&amp;" MRU"),"{PRENOM}",Inscriptions!C124),"{NOM}",Inscriptions!B124),"{RETARD}",TEXT(Inscriptions!S124,"0")),SUBSTITUTE(SUBSTITUTE(SUBSTITUTE(SUBSTITUTE(SUBSTITUTE(C3,"{MONTANT}",TEXT(Inscriptions!N124,"#,##0")&amp;" MRU"),"{PRENOM}",Inscriptions!C124),"{NOM}",Inscriptions!B124),"{PRESTATION}",E130),"{DATE_LIMITE}",IF(Inscriptions!R124="","non définie",TEXT(Inscriptions!R124,"DD/MM/YYYY"))))))</f>
        <v/>
      </c>
    </row>
    <row r="131" spans="1:10">
      <c r="A131" s="26" t="str">
        <f>IF(Inscriptions!B125="","",Inscriptions!A125)</f>
        <v/>
      </c>
      <c r="B131" s="26" t="str">
        <f>IF(Inscriptions!B125="","",Inscriptions!B125)</f>
        <v/>
      </c>
      <c r="C131" s="26" t="str">
        <f>IF(Inscriptions!B125="","",Inscriptions!C125)</f>
        <v/>
      </c>
      <c r="D131" s="26" t="str">
        <f>IF(Inscriptions!B125="","",Inscriptions!G125)</f>
        <v/>
      </c>
      <c r="E131" s="26" t="str">
        <f>IF(Inscriptions!B125="","",IF(AND(Inscriptions!I125="Oui",Inscriptions!J125="Oui"),"Football + Loisirs",IF(Inscriptions!I125="Oui","Football",IF(Inscriptions!J125="Oui","Centre Loisirs",""))))</f>
        <v/>
      </c>
      <c r="F131" s="26" t="str">
        <f>IF(Inscriptions!B125="","",Inscriptions!N125)</f>
        <v/>
      </c>
      <c r="G131" s="26" t="str">
        <f>IF(Inscriptions!B125="","",Inscriptions!O125)</f>
        <v/>
      </c>
      <c r="H131" s="26" t="str">
        <f>IF(Inscriptions!B125="","",IF(Inscriptions!S125="","—",Inscriptions!S125&amp;" j"))</f>
        <v/>
      </c>
      <c r="I131" s="26" t="str">
        <f>IF(Inscriptions!B125="","",IF(Inscriptions!O125="Payé","✅ Confirmation",IF(AND(Inscriptions!S125&lt;&gt;"",Inscriptions!S125&gt;0),"🔴 Retard","🟡 Rappel")))</f>
        <v/>
      </c>
      <c r="J131" s="27" t="str">
        <f>IF(Inscriptions!B125="","",IF(Inscriptions!O125="Payé",SUBSTITUTE(SUBSTITUTE(SUBSTITUTE(SUBSTITUTE(C5,"{MONTANT}",TEXT(Inscriptions!N125,"#,##0")&amp;" MRU"),"{PRENOM}",Inscriptions!C125),"{NOM}",Inscriptions!B125),"{PRESTATION}",E131),IF(AND(Inscriptions!S125&lt;&gt;"",Inscriptions!S125&gt;0),SUBSTITUTE(SUBSTITUTE(SUBSTITUTE(SUBSTITUTE(C4,"{MONTANT}",TEXT(Inscriptions!N125,"#,##0")&amp;" MRU"),"{PRENOM}",Inscriptions!C125),"{NOM}",Inscriptions!B125),"{RETARD}",TEXT(Inscriptions!S125,"0")),SUBSTITUTE(SUBSTITUTE(SUBSTITUTE(SUBSTITUTE(SUBSTITUTE(C3,"{MONTANT}",TEXT(Inscriptions!N125,"#,##0")&amp;" MRU"),"{PRENOM}",Inscriptions!C125),"{NOM}",Inscriptions!B125),"{PRESTATION}",E131),"{DATE_LIMITE}",IF(Inscriptions!R125="","non définie",TEXT(Inscriptions!R125,"DD/MM/YYYY"))))))</f>
        <v/>
      </c>
    </row>
    <row r="132" spans="1:10">
      <c r="A132" s="28" t="str">
        <f>IF(Inscriptions!B126="","",Inscriptions!A126)</f>
        <v/>
      </c>
      <c r="B132" s="28" t="str">
        <f>IF(Inscriptions!B126="","",Inscriptions!B126)</f>
        <v/>
      </c>
      <c r="C132" s="28" t="str">
        <f>IF(Inscriptions!B126="","",Inscriptions!C126)</f>
        <v/>
      </c>
      <c r="D132" s="28" t="str">
        <f>IF(Inscriptions!B126="","",Inscriptions!G126)</f>
        <v/>
      </c>
      <c r="E132" s="28" t="str">
        <f>IF(Inscriptions!B126="","",IF(AND(Inscriptions!I126="Oui",Inscriptions!J126="Oui"),"Football + Loisirs",IF(Inscriptions!I126="Oui","Football",IF(Inscriptions!J126="Oui","Centre Loisirs",""))))</f>
        <v/>
      </c>
      <c r="F132" s="28" t="str">
        <f>IF(Inscriptions!B126="","",Inscriptions!N126)</f>
        <v/>
      </c>
      <c r="G132" s="28" t="str">
        <f>IF(Inscriptions!B126="","",Inscriptions!O126)</f>
        <v/>
      </c>
      <c r="H132" s="28" t="str">
        <f>IF(Inscriptions!B126="","",IF(Inscriptions!S126="","—",Inscriptions!S126&amp;" j"))</f>
        <v/>
      </c>
      <c r="I132" s="28" t="str">
        <f>IF(Inscriptions!B126="","",IF(Inscriptions!O126="Payé","✅ Confirmation",IF(AND(Inscriptions!S126&lt;&gt;"",Inscriptions!S126&gt;0),"🔴 Retard","🟡 Rappel")))</f>
        <v/>
      </c>
      <c r="J132" s="29" t="str">
        <f>IF(Inscriptions!B126="","",IF(Inscriptions!O126="Payé",SUBSTITUTE(SUBSTITUTE(SUBSTITUTE(SUBSTITUTE(C5,"{MONTANT}",TEXT(Inscriptions!N126,"#,##0")&amp;" MRU"),"{PRENOM}",Inscriptions!C126),"{NOM}",Inscriptions!B126),"{PRESTATION}",E132),IF(AND(Inscriptions!S126&lt;&gt;"",Inscriptions!S126&gt;0),SUBSTITUTE(SUBSTITUTE(SUBSTITUTE(SUBSTITUTE(C4,"{MONTANT}",TEXT(Inscriptions!N126,"#,##0")&amp;" MRU"),"{PRENOM}",Inscriptions!C126),"{NOM}",Inscriptions!B126),"{RETARD}",TEXT(Inscriptions!S126,"0")),SUBSTITUTE(SUBSTITUTE(SUBSTITUTE(SUBSTITUTE(SUBSTITUTE(C3,"{MONTANT}",TEXT(Inscriptions!N126,"#,##0")&amp;" MRU"),"{PRENOM}",Inscriptions!C126),"{NOM}",Inscriptions!B126),"{PRESTATION}",E132),"{DATE_LIMITE}",IF(Inscriptions!R126="","non définie",TEXT(Inscriptions!R126,"DD/MM/YYYY"))))))</f>
        <v/>
      </c>
    </row>
    <row r="133" spans="1:10">
      <c r="A133" s="26" t="str">
        <f>IF(Inscriptions!B127="","",Inscriptions!A127)</f>
        <v/>
      </c>
      <c r="B133" s="26" t="str">
        <f>IF(Inscriptions!B127="","",Inscriptions!B127)</f>
        <v/>
      </c>
      <c r="C133" s="26" t="str">
        <f>IF(Inscriptions!B127="","",Inscriptions!C127)</f>
        <v/>
      </c>
      <c r="D133" s="26" t="str">
        <f>IF(Inscriptions!B127="","",Inscriptions!G127)</f>
        <v/>
      </c>
      <c r="E133" s="26" t="str">
        <f>IF(Inscriptions!B127="","",IF(AND(Inscriptions!I127="Oui",Inscriptions!J127="Oui"),"Football + Loisirs",IF(Inscriptions!I127="Oui","Football",IF(Inscriptions!J127="Oui","Centre Loisirs",""))))</f>
        <v/>
      </c>
      <c r="F133" s="26" t="str">
        <f>IF(Inscriptions!B127="","",Inscriptions!N127)</f>
        <v/>
      </c>
      <c r="G133" s="26" t="str">
        <f>IF(Inscriptions!B127="","",Inscriptions!O127)</f>
        <v/>
      </c>
      <c r="H133" s="26" t="str">
        <f>IF(Inscriptions!B127="","",IF(Inscriptions!S127="","—",Inscriptions!S127&amp;" j"))</f>
        <v/>
      </c>
      <c r="I133" s="26" t="str">
        <f>IF(Inscriptions!B127="","",IF(Inscriptions!O127="Payé","✅ Confirmation",IF(AND(Inscriptions!S127&lt;&gt;"",Inscriptions!S127&gt;0),"🔴 Retard","🟡 Rappel")))</f>
        <v/>
      </c>
      <c r="J133" s="27" t="str">
        <f>IF(Inscriptions!B127="","",IF(Inscriptions!O127="Payé",SUBSTITUTE(SUBSTITUTE(SUBSTITUTE(SUBSTITUTE(C5,"{MONTANT}",TEXT(Inscriptions!N127,"#,##0")&amp;" MRU"),"{PRENOM}",Inscriptions!C127),"{NOM}",Inscriptions!B127),"{PRESTATION}",E133),IF(AND(Inscriptions!S127&lt;&gt;"",Inscriptions!S127&gt;0),SUBSTITUTE(SUBSTITUTE(SUBSTITUTE(SUBSTITUTE(C4,"{MONTANT}",TEXT(Inscriptions!N127,"#,##0")&amp;" MRU"),"{PRENOM}",Inscriptions!C127),"{NOM}",Inscriptions!B127),"{RETARD}",TEXT(Inscriptions!S127,"0")),SUBSTITUTE(SUBSTITUTE(SUBSTITUTE(SUBSTITUTE(SUBSTITUTE(C3,"{MONTANT}",TEXT(Inscriptions!N127,"#,##0")&amp;" MRU"),"{PRENOM}",Inscriptions!C127),"{NOM}",Inscriptions!B127),"{PRESTATION}",E133),"{DATE_LIMITE}",IF(Inscriptions!R127="","non définie",TEXT(Inscriptions!R127,"DD/MM/YYYY"))))))</f>
        <v/>
      </c>
    </row>
    <row r="134" spans="1:10">
      <c r="A134" s="28" t="str">
        <f>IF(Inscriptions!B128="","",Inscriptions!A128)</f>
        <v/>
      </c>
      <c r="B134" s="28" t="str">
        <f>IF(Inscriptions!B128="","",Inscriptions!B128)</f>
        <v/>
      </c>
      <c r="C134" s="28" t="str">
        <f>IF(Inscriptions!B128="","",Inscriptions!C128)</f>
        <v/>
      </c>
      <c r="D134" s="28" t="str">
        <f>IF(Inscriptions!B128="","",Inscriptions!G128)</f>
        <v/>
      </c>
      <c r="E134" s="28" t="str">
        <f>IF(Inscriptions!B128="","",IF(AND(Inscriptions!I128="Oui",Inscriptions!J128="Oui"),"Football + Loisirs",IF(Inscriptions!I128="Oui","Football",IF(Inscriptions!J128="Oui","Centre Loisirs",""))))</f>
        <v/>
      </c>
      <c r="F134" s="28" t="str">
        <f>IF(Inscriptions!B128="","",Inscriptions!N128)</f>
        <v/>
      </c>
      <c r="G134" s="28" t="str">
        <f>IF(Inscriptions!B128="","",Inscriptions!O128)</f>
        <v/>
      </c>
      <c r="H134" s="28" t="str">
        <f>IF(Inscriptions!B128="","",IF(Inscriptions!S128="","—",Inscriptions!S128&amp;" j"))</f>
        <v/>
      </c>
      <c r="I134" s="28" t="str">
        <f>IF(Inscriptions!B128="","",IF(Inscriptions!O128="Payé","✅ Confirmation",IF(AND(Inscriptions!S128&lt;&gt;"",Inscriptions!S128&gt;0),"🔴 Retard","🟡 Rappel")))</f>
        <v/>
      </c>
      <c r="J134" s="29" t="str">
        <f>IF(Inscriptions!B128="","",IF(Inscriptions!O128="Payé",SUBSTITUTE(SUBSTITUTE(SUBSTITUTE(SUBSTITUTE(C5,"{MONTANT}",TEXT(Inscriptions!N128,"#,##0")&amp;" MRU"),"{PRENOM}",Inscriptions!C128),"{NOM}",Inscriptions!B128),"{PRESTATION}",E134),IF(AND(Inscriptions!S128&lt;&gt;"",Inscriptions!S128&gt;0),SUBSTITUTE(SUBSTITUTE(SUBSTITUTE(SUBSTITUTE(C4,"{MONTANT}",TEXT(Inscriptions!N128,"#,##0")&amp;" MRU"),"{PRENOM}",Inscriptions!C128),"{NOM}",Inscriptions!B128),"{RETARD}",TEXT(Inscriptions!S128,"0")),SUBSTITUTE(SUBSTITUTE(SUBSTITUTE(SUBSTITUTE(SUBSTITUTE(C3,"{MONTANT}",TEXT(Inscriptions!N128,"#,##0")&amp;" MRU"),"{PRENOM}",Inscriptions!C128),"{NOM}",Inscriptions!B128),"{PRESTATION}",E134),"{DATE_LIMITE}",IF(Inscriptions!R128="","non définie",TEXT(Inscriptions!R128,"DD/MM/YYYY"))))))</f>
        <v/>
      </c>
    </row>
    <row r="135" spans="1:10">
      <c r="A135" s="26" t="str">
        <f>IF(Inscriptions!B129="","",Inscriptions!A129)</f>
        <v/>
      </c>
      <c r="B135" s="26" t="str">
        <f>IF(Inscriptions!B129="","",Inscriptions!B129)</f>
        <v/>
      </c>
      <c r="C135" s="26" t="str">
        <f>IF(Inscriptions!B129="","",Inscriptions!C129)</f>
        <v/>
      </c>
      <c r="D135" s="26" t="str">
        <f>IF(Inscriptions!B129="","",Inscriptions!G129)</f>
        <v/>
      </c>
      <c r="E135" s="26" t="str">
        <f>IF(Inscriptions!B129="","",IF(AND(Inscriptions!I129="Oui",Inscriptions!J129="Oui"),"Football + Loisirs",IF(Inscriptions!I129="Oui","Football",IF(Inscriptions!J129="Oui","Centre Loisirs",""))))</f>
        <v/>
      </c>
      <c r="F135" s="26" t="str">
        <f>IF(Inscriptions!B129="","",Inscriptions!N129)</f>
        <v/>
      </c>
      <c r="G135" s="26" t="str">
        <f>IF(Inscriptions!B129="","",Inscriptions!O129)</f>
        <v/>
      </c>
      <c r="H135" s="26" t="str">
        <f>IF(Inscriptions!B129="","",IF(Inscriptions!S129="","—",Inscriptions!S129&amp;" j"))</f>
        <v/>
      </c>
      <c r="I135" s="26" t="str">
        <f>IF(Inscriptions!B129="","",IF(Inscriptions!O129="Payé","✅ Confirmation",IF(AND(Inscriptions!S129&lt;&gt;"",Inscriptions!S129&gt;0),"🔴 Retard","🟡 Rappel")))</f>
        <v/>
      </c>
      <c r="J135" s="27" t="str">
        <f>IF(Inscriptions!B129="","",IF(Inscriptions!O129="Payé",SUBSTITUTE(SUBSTITUTE(SUBSTITUTE(SUBSTITUTE(C5,"{MONTANT}",TEXT(Inscriptions!N129,"#,##0")&amp;" MRU"),"{PRENOM}",Inscriptions!C129),"{NOM}",Inscriptions!B129),"{PRESTATION}",E135),IF(AND(Inscriptions!S129&lt;&gt;"",Inscriptions!S129&gt;0),SUBSTITUTE(SUBSTITUTE(SUBSTITUTE(SUBSTITUTE(C4,"{MONTANT}",TEXT(Inscriptions!N129,"#,##0")&amp;" MRU"),"{PRENOM}",Inscriptions!C129),"{NOM}",Inscriptions!B129),"{RETARD}",TEXT(Inscriptions!S129,"0")),SUBSTITUTE(SUBSTITUTE(SUBSTITUTE(SUBSTITUTE(SUBSTITUTE(C3,"{MONTANT}",TEXT(Inscriptions!N129,"#,##0")&amp;" MRU"),"{PRENOM}",Inscriptions!C129),"{NOM}",Inscriptions!B129),"{PRESTATION}",E135),"{DATE_LIMITE}",IF(Inscriptions!R129="","non définie",TEXT(Inscriptions!R129,"DD/MM/YYYY"))))))</f>
        <v/>
      </c>
    </row>
    <row r="136" spans="1:10">
      <c r="A136" s="28" t="str">
        <f>IF(Inscriptions!B130="","",Inscriptions!A130)</f>
        <v/>
      </c>
      <c r="B136" s="28" t="str">
        <f>IF(Inscriptions!B130="","",Inscriptions!B130)</f>
        <v/>
      </c>
      <c r="C136" s="28" t="str">
        <f>IF(Inscriptions!B130="","",Inscriptions!C130)</f>
        <v/>
      </c>
      <c r="D136" s="28" t="str">
        <f>IF(Inscriptions!B130="","",Inscriptions!G130)</f>
        <v/>
      </c>
      <c r="E136" s="28" t="str">
        <f>IF(Inscriptions!B130="","",IF(AND(Inscriptions!I130="Oui",Inscriptions!J130="Oui"),"Football + Loisirs",IF(Inscriptions!I130="Oui","Football",IF(Inscriptions!J130="Oui","Centre Loisirs",""))))</f>
        <v/>
      </c>
      <c r="F136" s="28" t="str">
        <f>IF(Inscriptions!B130="","",Inscriptions!N130)</f>
        <v/>
      </c>
      <c r="G136" s="28" t="str">
        <f>IF(Inscriptions!B130="","",Inscriptions!O130)</f>
        <v/>
      </c>
      <c r="H136" s="28" t="str">
        <f>IF(Inscriptions!B130="","",IF(Inscriptions!S130="","—",Inscriptions!S130&amp;" j"))</f>
        <v/>
      </c>
      <c r="I136" s="28" t="str">
        <f>IF(Inscriptions!B130="","",IF(Inscriptions!O130="Payé","✅ Confirmation",IF(AND(Inscriptions!S130&lt;&gt;"",Inscriptions!S130&gt;0),"🔴 Retard","🟡 Rappel")))</f>
        <v/>
      </c>
      <c r="J136" s="29" t="str">
        <f>IF(Inscriptions!B130="","",IF(Inscriptions!O130="Payé",SUBSTITUTE(SUBSTITUTE(SUBSTITUTE(SUBSTITUTE(C5,"{MONTANT}",TEXT(Inscriptions!N130,"#,##0")&amp;" MRU"),"{PRENOM}",Inscriptions!C130),"{NOM}",Inscriptions!B130),"{PRESTATION}",E136),IF(AND(Inscriptions!S130&lt;&gt;"",Inscriptions!S130&gt;0),SUBSTITUTE(SUBSTITUTE(SUBSTITUTE(SUBSTITUTE(C4,"{MONTANT}",TEXT(Inscriptions!N130,"#,##0")&amp;" MRU"),"{PRENOM}",Inscriptions!C130),"{NOM}",Inscriptions!B130),"{RETARD}",TEXT(Inscriptions!S130,"0")),SUBSTITUTE(SUBSTITUTE(SUBSTITUTE(SUBSTITUTE(SUBSTITUTE(C3,"{MONTANT}",TEXT(Inscriptions!N130,"#,##0")&amp;" MRU"),"{PRENOM}",Inscriptions!C130),"{NOM}",Inscriptions!B130),"{PRESTATION}",E136),"{DATE_LIMITE}",IF(Inscriptions!R130="","non définie",TEXT(Inscriptions!R130,"DD/MM/YYYY"))))))</f>
        <v/>
      </c>
    </row>
    <row r="137" spans="1:10">
      <c r="A137" s="26" t="str">
        <f>IF(Inscriptions!B131="","",Inscriptions!A131)</f>
        <v/>
      </c>
      <c r="B137" s="26" t="str">
        <f>IF(Inscriptions!B131="","",Inscriptions!B131)</f>
        <v/>
      </c>
      <c r="C137" s="26" t="str">
        <f>IF(Inscriptions!B131="","",Inscriptions!C131)</f>
        <v/>
      </c>
      <c r="D137" s="26" t="str">
        <f>IF(Inscriptions!B131="","",Inscriptions!G131)</f>
        <v/>
      </c>
      <c r="E137" s="26" t="str">
        <f>IF(Inscriptions!B131="","",IF(AND(Inscriptions!I131="Oui",Inscriptions!J131="Oui"),"Football + Loisirs",IF(Inscriptions!I131="Oui","Football",IF(Inscriptions!J131="Oui","Centre Loisirs",""))))</f>
        <v/>
      </c>
      <c r="F137" s="26" t="str">
        <f>IF(Inscriptions!B131="","",Inscriptions!N131)</f>
        <v/>
      </c>
      <c r="G137" s="26" t="str">
        <f>IF(Inscriptions!B131="","",Inscriptions!O131)</f>
        <v/>
      </c>
      <c r="H137" s="26" t="str">
        <f>IF(Inscriptions!B131="","",IF(Inscriptions!S131="","—",Inscriptions!S131&amp;" j"))</f>
        <v/>
      </c>
      <c r="I137" s="26" t="str">
        <f>IF(Inscriptions!B131="","",IF(Inscriptions!O131="Payé","✅ Confirmation",IF(AND(Inscriptions!S131&lt;&gt;"",Inscriptions!S131&gt;0),"🔴 Retard","🟡 Rappel")))</f>
        <v/>
      </c>
      <c r="J137" s="27" t="str">
        <f>IF(Inscriptions!B131="","",IF(Inscriptions!O131="Payé",SUBSTITUTE(SUBSTITUTE(SUBSTITUTE(SUBSTITUTE(C5,"{MONTANT}",TEXT(Inscriptions!N131,"#,##0")&amp;" MRU"),"{PRENOM}",Inscriptions!C131),"{NOM}",Inscriptions!B131),"{PRESTATION}",E137),IF(AND(Inscriptions!S131&lt;&gt;"",Inscriptions!S131&gt;0),SUBSTITUTE(SUBSTITUTE(SUBSTITUTE(SUBSTITUTE(C4,"{MONTANT}",TEXT(Inscriptions!N131,"#,##0")&amp;" MRU"),"{PRENOM}",Inscriptions!C131),"{NOM}",Inscriptions!B131),"{RETARD}",TEXT(Inscriptions!S131,"0")),SUBSTITUTE(SUBSTITUTE(SUBSTITUTE(SUBSTITUTE(SUBSTITUTE(C3,"{MONTANT}",TEXT(Inscriptions!N131,"#,##0")&amp;" MRU"),"{PRENOM}",Inscriptions!C131),"{NOM}",Inscriptions!B131),"{PRESTATION}",E137),"{DATE_LIMITE}",IF(Inscriptions!R131="","non définie",TEXT(Inscriptions!R131,"DD/MM/YYYY"))))))</f>
        <v/>
      </c>
    </row>
    <row r="138" spans="1:10">
      <c r="A138" s="28" t="str">
        <f>IF(Inscriptions!B132="","",Inscriptions!A132)</f>
        <v/>
      </c>
      <c r="B138" s="28" t="str">
        <f>IF(Inscriptions!B132="","",Inscriptions!B132)</f>
        <v/>
      </c>
      <c r="C138" s="28" t="str">
        <f>IF(Inscriptions!B132="","",Inscriptions!C132)</f>
        <v/>
      </c>
      <c r="D138" s="28" t="str">
        <f>IF(Inscriptions!B132="","",Inscriptions!G132)</f>
        <v/>
      </c>
      <c r="E138" s="28" t="str">
        <f>IF(Inscriptions!B132="","",IF(AND(Inscriptions!I132="Oui",Inscriptions!J132="Oui"),"Football + Loisirs",IF(Inscriptions!I132="Oui","Football",IF(Inscriptions!J132="Oui","Centre Loisirs",""))))</f>
        <v/>
      </c>
      <c r="F138" s="28" t="str">
        <f>IF(Inscriptions!B132="","",Inscriptions!N132)</f>
        <v/>
      </c>
      <c r="G138" s="28" t="str">
        <f>IF(Inscriptions!B132="","",Inscriptions!O132)</f>
        <v/>
      </c>
      <c r="H138" s="28" t="str">
        <f>IF(Inscriptions!B132="","",IF(Inscriptions!S132="","—",Inscriptions!S132&amp;" j"))</f>
        <v/>
      </c>
      <c r="I138" s="28" t="str">
        <f>IF(Inscriptions!B132="","",IF(Inscriptions!O132="Payé","✅ Confirmation",IF(AND(Inscriptions!S132&lt;&gt;"",Inscriptions!S132&gt;0),"🔴 Retard","🟡 Rappel")))</f>
        <v/>
      </c>
      <c r="J138" s="29" t="str">
        <f>IF(Inscriptions!B132="","",IF(Inscriptions!O132="Payé",SUBSTITUTE(SUBSTITUTE(SUBSTITUTE(SUBSTITUTE(C5,"{MONTANT}",TEXT(Inscriptions!N132,"#,##0")&amp;" MRU"),"{PRENOM}",Inscriptions!C132),"{NOM}",Inscriptions!B132),"{PRESTATION}",E138),IF(AND(Inscriptions!S132&lt;&gt;"",Inscriptions!S132&gt;0),SUBSTITUTE(SUBSTITUTE(SUBSTITUTE(SUBSTITUTE(C4,"{MONTANT}",TEXT(Inscriptions!N132,"#,##0")&amp;" MRU"),"{PRENOM}",Inscriptions!C132),"{NOM}",Inscriptions!B132),"{RETARD}",TEXT(Inscriptions!S132,"0")),SUBSTITUTE(SUBSTITUTE(SUBSTITUTE(SUBSTITUTE(SUBSTITUTE(C3,"{MONTANT}",TEXT(Inscriptions!N132,"#,##0")&amp;" MRU"),"{PRENOM}",Inscriptions!C132),"{NOM}",Inscriptions!B132),"{PRESTATION}",E138),"{DATE_LIMITE}",IF(Inscriptions!R132="","non définie",TEXT(Inscriptions!R132,"DD/MM/YYYY"))))))</f>
        <v/>
      </c>
    </row>
    <row r="139" spans="1:10">
      <c r="A139" s="26" t="str">
        <f>IF(Inscriptions!B133="","",Inscriptions!A133)</f>
        <v/>
      </c>
      <c r="B139" s="26" t="str">
        <f>IF(Inscriptions!B133="","",Inscriptions!B133)</f>
        <v/>
      </c>
      <c r="C139" s="26" t="str">
        <f>IF(Inscriptions!B133="","",Inscriptions!C133)</f>
        <v/>
      </c>
      <c r="D139" s="26" t="str">
        <f>IF(Inscriptions!B133="","",Inscriptions!G133)</f>
        <v/>
      </c>
      <c r="E139" s="26" t="str">
        <f>IF(Inscriptions!B133="","",IF(AND(Inscriptions!I133="Oui",Inscriptions!J133="Oui"),"Football + Loisirs",IF(Inscriptions!I133="Oui","Football",IF(Inscriptions!J133="Oui","Centre Loisirs",""))))</f>
        <v/>
      </c>
      <c r="F139" s="26" t="str">
        <f>IF(Inscriptions!B133="","",Inscriptions!N133)</f>
        <v/>
      </c>
      <c r="G139" s="26" t="str">
        <f>IF(Inscriptions!B133="","",Inscriptions!O133)</f>
        <v/>
      </c>
      <c r="H139" s="26" t="str">
        <f>IF(Inscriptions!B133="","",IF(Inscriptions!S133="","—",Inscriptions!S133&amp;" j"))</f>
        <v/>
      </c>
      <c r="I139" s="26" t="str">
        <f>IF(Inscriptions!B133="","",IF(Inscriptions!O133="Payé","✅ Confirmation",IF(AND(Inscriptions!S133&lt;&gt;"",Inscriptions!S133&gt;0),"🔴 Retard","🟡 Rappel")))</f>
        <v/>
      </c>
      <c r="J139" s="27" t="str">
        <f>IF(Inscriptions!B133="","",IF(Inscriptions!O133="Payé",SUBSTITUTE(SUBSTITUTE(SUBSTITUTE(SUBSTITUTE(C5,"{MONTANT}",TEXT(Inscriptions!N133,"#,##0")&amp;" MRU"),"{PRENOM}",Inscriptions!C133),"{NOM}",Inscriptions!B133),"{PRESTATION}",E139),IF(AND(Inscriptions!S133&lt;&gt;"",Inscriptions!S133&gt;0),SUBSTITUTE(SUBSTITUTE(SUBSTITUTE(SUBSTITUTE(C4,"{MONTANT}",TEXT(Inscriptions!N133,"#,##0")&amp;" MRU"),"{PRENOM}",Inscriptions!C133),"{NOM}",Inscriptions!B133),"{RETARD}",TEXT(Inscriptions!S133,"0")),SUBSTITUTE(SUBSTITUTE(SUBSTITUTE(SUBSTITUTE(SUBSTITUTE(C3,"{MONTANT}",TEXT(Inscriptions!N133,"#,##0")&amp;" MRU"),"{PRENOM}",Inscriptions!C133),"{NOM}",Inscriptions!B133),"{PRESTATION}",E139),"{DATE_LIMITE}",IF(Inscriptions!R133="","non définie",TEXT(Inscriptions!R133,"DD/MM/YYYY"))))))</f>
        <v/>
      </c>
    </row>
    <row r="140" spans="1:10">
      <c r="A140" s="28" t="str">
        <f>IF(Inscriptions!B134="","",Inscriptions!A134)</f>
        <v/>
      </c>
      <c r="B140" s="28" t="str">
        <f>IF(Inscriptions!B134="","",Inscriptions!B134)</f>
        <v/>
      </c>
      <c r="C140" s="28" t="str">
        <f>IF(Inscriptions!B134="","",Inscriptions!C134)</f>
        <v/>
      </c>
      <c r="D140" s="28" t="str">
        <f>IF(Inscriptions!B134="","",Inscriptions!G134)</f>
        <v/>
      </c>
      <c r="E140" s="28" t="str">
        <f>IF(Inscriptions!B134="","",IF(AND(Inscriptions!I134="Oui",Inscriptions!J134="Oui"),"Football + Loisirs",IF(Inscriptions!I134="Oui","Football",IF(Inscriptions!J134="Oui","Centre Loisirs",""))))</f>
        <v/>
      </c>
      <c r="F140" s="28" t="str">
        <f>IF(Inscriptions!B134="","",Inscriptions!N134)</f>
        <v/>
      </c>
      <c r="G140" s="28" t="str">
        <f>IF(Inscriptions!B134="","",Inscriptions!O134)</f>
        <v/>
      </c>
      <c r="H140" s="28" t="str">
        <f>IF(Inscriptions!B134="","",IF(Inscriptions!S134="","—",Inscriptions!S134&amp;" j"))</f>
        <v/>
      </c>
      <c r="I140" s="28" t="str">
        <f>IF(Inscriptions!B134="","",IF(Inscriptions!O134="Payé","✅ Confirmation",IF(AND(Inscriptions!S134&lt;&gt;"",Inscriptions!S134&gt;0),"🔴 Retard","🟡 Rappel")))</f>
        <v/>
      </c>
      <c r="J140" s="29" t="str">
        <f>IF(Inscriptions!B134="","",IF(Inscriptions!O134="Payé",SUBSTITUTE(SUBSTITUTE(SUBSTITUTE(SUBSTITUTE(C5,"{MONTANT}",TEXT(Inscriptions!N134,"#,##0")&amp;" MRU"),"{PRENOM}",Inscriptions!C134),"{NOM}",Inscriptions!B134),"{PRESTATION}",E140),IF(AND(Inscriptions!S134&lt;&gt;"",Inscriptions!S134&gt;0),SUBSTITUTE(SUBSTITUTE(SUBSTITUTE(SUBSTITUTE(C4,"{MONTANT}",TEXT(Inscriptions!N134,"#,##0")&amp;" MRU"),"{PRENOM}",Inscriptions!C134),"{NOM}",Inscriptions!B134),"{RETARD}",TEXT(Inscriptions!S134,"0")),SUBSTITUTE(SUBSTITUTE(SUBSTITUTE(SUBSTITUTE(SUBSTITUTE(C3,"{MONTANT}",TEXT(Inscriptions!N134,"#,##0")&amp;" MRU"),"{PRENOM}",Inscriptions!C134),"{NOM}",Inscriptions!B134),"{PRESTATION}",E140),"{DATE_LIMITE}",IF(Inscriptions!R134="","non définie",TEXT(Inscriptions!R134,"DD/MM/YYYY"))))))</f>
        <v/>
      </c>
    </row>
    <row r="141" spans="1:10">
      <c r="A141" s="26" t="str">
        <f>IF(Inscriptions!B135="","",Inscriptions!A135)</f>
        <v/>
      </c>
      <c r="B141" s="26" t="str">
        <f>IF(Inscriptions!B135="","",Inscriptions!B135)</f>
        <v/>
      </c>
      <c r="C141" s="26" t="str">
        <f>IF(Inscriptions!B135="","",Inscriptions!C135)</f>
        <v/>
      </c>
      <c r="D141" s="26" t="str">
        <f>IF(Inscriptions!B135="","",Inscriptions!G135)</f>
        <v/>
      </c>
      <c r="E141" s="26" t="str">
        <f>IF(Inscriptions!B135="","",IF(AND(Inscriptions!I135="Oui",Inscriptions!J135="Oui"),"Football + Loisirs",IF(Inscriptions!I135="Oui","Football",IF(Inscriptions!J135="Oui","Centre Loisirs",""))))</f>
        <v/>
      </c>
      <c r="F141" s="26" t="str">
        <f>IF(Inscriptions!B135="","",Inscriptions!N135)</f>
        <v/>
      </c>
      <c r="G141" s="26" t="str">
        <f>IF(Inscriptions!B135="","",Inscriptions!O135)</f>
        <v/>
      </c>
      <c r="H141" s="26" t="str">
        <f>IF(Inscriptions!B135="","",IF(Inscriptions!S135="","—",Inscriptions!S135&amp;" j"))</f>
        <v/>
      </c>
      <c r="I141" s="26" t="str">
        <f>IF(Inscriptions!B135="","",IF(Inscriptions!O135="Payé","✅ Confirmation",IF(AND(Inscriptions!S135&lt;&gt;"",Inscriptions!S135&gt;0),"🔴 Retard","🟡 Rappel")))</f>
        <v/>
      </c>
      <c r="J141" s="27" t="str">
        <f>IF(Inscriptions!B135="","",IF(Inscriptions!O135="Payé",SUBSTITUTE(SUBSTITUTE(SUBSTITUTE(SUBSTITUTE(C5,"{MONTANT}",TEXT(Inscriptions!N135,"#,##0")&amp;" MRU"),"{PRENOM}",Inscriptions!C135),"{NOM}",Inscriptions!B135),"{PRESTATION}",E141),IF(AND(Inscriptions!S135&lt;&gt;"",Inscriptions!S135&gt;0),SUBSTITUTE(SUBSTITUTE(SUBSTITUTE(SUBSTITUTE(C4,"{MONTANT}",TEXT(Inscriptions!N135,"#,##0")&amp;" MRU"),"{PRENOM}",Inscriptions!C135),"{NOM}",Inscriptions!B135),"{RETARD}",TEXT(Inscriptions!S135,"0")),SUBSTITUTE(SUBSTITUTE(SUBSTITUTE(SUBSTITUTE(SUBSTITUTE(C3,"{MONTANT}",TEXT(Inscriptions!N135,"#,##0")&amp;" MRU"),"{PRENOM}",Inscriptions!C135),"{NOM}",Inscriptions!B135),"{PRESTATION}",E141),"{DATE_LIMITE}",IF(Inscriptions!R135="","non définie",TEXT(Inscriptions!R135,"DD/MM/YYYY"))))))</f>
        <v/>
      </c>
    </row>
    <row r="142" spans="1:10">
      <c r="A142" s="28" t="str">
        <f>IF(Inscriptions!B136="","",Inscriptions!A136)</f>
        <v/>
      </c>
      <c r="B142" s="28" t="str">
        <f>IF(Inscriptions!B136="","",Inscriptions!B136)</f>
        <v/>
      </c>
      <c r="C142" s="28" t="str">
        <f>IF(Inscriptions!B136="","",Inscriptions!C136)</f>
        <v/>
      </c>
      <c r="D142" s="28" t="str">
        <f>IF(Inscriptions!B136="","",Inscriptions!G136)</f>
        <v/>
      </c>
      <c r="E142" s="28" t="str">
        <f>IF(Inscriptions!B136="","",IF(AND(Inscriptions!I136="Oui",Inscriptions!J136="Oui"),"Football + Loisirs",IF(Inscriptions!I136="Oui","Football",IF(Inscriptions!J136="Oui","Centre Loisirs",""))))</f>
        <v/>
      </c>
      <c r="F142" s="28" t="str">
        <f>IF(Inscriptions!B136="","",Inscriptions!N136)</f>
        <v/>
      </c>
      <c r="G142" s="28" t="str">
        <f>IF(Inscriptions!B136="","",Inscriptions!O136)</f>
        <v/>
      </c>
      <c r="H142" s="28" t="str">
        <f>IF(Inscriptions!B136="","",IF(Inscriptions!S136="","—",Inscriptions!S136&amp;" j"))</f>
        <v/>
      </c>
      <c r="I142" s="28" t="str">
        <f>IF(Inscriptions!B136="","",IF(Inscriptions!O136="Payé","✅ Confirmation",IF(AND(Inscriptions!S136&lt;&gt;"",Inscriptions!S136&gt;0),"🔴 Retard","🟡 Rappel")))</f>
        <v/>
      </c>
      <c r="J142" s="29" t="str">
        <f>IF(Inscriptions!B136="","",IF(Inscriptions!O136="Payé",SUBSTITUTE(SUBSTITUTE(SUBSTITUTE(SUBSTITUTE(C5,"{MONTANT}",TEXT(Inscriptions!N136,"#,##0")&amp;" MRU"),"{PRENOM}",Inscriptions!C136),"{NOM}",Inscriptions!B136),"{PRESTATION}",E142),IF(AND(Inscriptions!S136&lt;&gt;"",Inscriptions!S136&gt;0),SUBSTITUTE(SUBSTITUTE(SUBSTITUTE(SUBSTITUTE(C4,"{MONTANT}",TEXT(Inscriptions!N136,"#,##0")&amp;" MRU"),"{PRENOM}",Inscriptions!C136),"{NOM}",Inscriptions!B136),"{RETARD}",TEXT(Inscriptions!S136,"0")),SUBSTITUTE(SUBSTITUTE(SUBSTITUTE(SUBSTITUTE(SUBSTITUTE(C3,"{MONTANT}",TEXT(Inscriptions!N136,"#,##0")&amp;" MRU"),"{PRENOM}",Inscriptions!C136),"{NOM}",Inscriptions!B136),"{PRESTATION}",E142),"{DATE_LIMITE}",IF(Inscriptions!R136="","non définie",TEXT(Inscriptions!R136,"DD/MM/YYYY"))))))</f>
        <v/>
      </c>
    </row>
    <row r="143" spans="1:10">
      <c r="A143" s="26" t="str">
        <f>IF(Inscriptions!B137="","",Inscriptions!A137)</f>
        <v/>
      </c>
      <c r="B143" s="26" t="str">
        <f>IF(Inscriptions!B137="","",Inscriptions!B137)</f>
        <v/>
      </c>
      <c r="C143" s="26" t="str">
        <f>IF(Inscriptions!B137="","",Inscriptions!C137)</f>
        <v/>
      </c>
      <c r="D143" s="26" t="str">
        <f>IF(Inscriptions!B137="","",Inscriptions!G137)</f>
        <v/>
      </c>
      <c r="E143" s="26" t="str">
        <f>IF(Inscriptions!B137="","",IF(AND(Inscriptions!I137="Oui",Inscriptions!J137="Oui"),"Football + Loisirs",IF(Inscriptions!I137="Oui","Football",IF(Inscriptions!J137="Oui","Centre Loisirs",""))))</f>
        <v/>
      </c>
      <c r="F143" s="26" t="str">
        <f>IF(Inscriptions!B137="","",Inscriptions!N137)</f>
        <v/>
      </c>
      <c r="G143" s="26" t="str">
        <f>IF(Inscriptions!B137="","",Inscriptions!O137)</f>
        <v/>
      </c>
      <c r="H143" s="26" t="str">
        <f>IF(Inscriptions!B137="","",IF(Inscriptions!S137="","—",Inscriptions!S137&amp;" j"))</f>
        <v/>
      </c>
      <c r="I143" s="26" t="str">
        <f>IF(Inscriptions!B137="","",IF(Inscriptions!O137="Payé","✅ Confirmation",IF(AND(Inscriptions!S137&lt;&gt;"",Inscriptions!S137&gt;0),"🔴 Retard","🟡 Rappel")))</f>
        <v/>
      </c>
      <c r="J143" s="27" t="str">
        <f>IF(Inscriptions!B137="","",IF(Inscriptions!O137="Payé",SUBSTITUTE(SUBSTITUTE(SUBSTITUTE(SUBSTITUTE(C5,"{MONTANT}",TEXT(Inscriptions!N137,"#,##0")&amp;" MRU"),"{PRENOM}",Inscriptions!C137),"{NOM}",Inscriptions!B137),"{PRESTATION}",E143),IF(AND(Inscriptions!S137&lt;&gt;"",Inscriptions!S137&gt;0),SUBSTITUTE(SUBSTITUTE(SUBSTITUTE(SUBSTITUTE(C4,"{MONTANT}",TEXT(Inscriptions!N137,"#,##0")&amp;" MRU"),"{PRENOM}",Inscriptions!C137),"{NOM}",Inscriptions!B137),"{RETARD}",TEXT(Inscriptions!S137,"0")),SUBSTITUTE(SUBSTITUTE(SUBSTITUTE(SUBSTITUTE(SUBSTITUTE(C3,"{MONTANT}",TEXT(Inscriptions!N137,"#,##0")&amp;" MRU"),"{PRENOM}",Inscriptions!C137),"{NOM}",Inscriptions!B137),"{PRESTATION}",E143),"{DATE_LIMITE}",IF(Inscriptions!R137="","non définie",TEXT(Inscriptions!R137,"DD/MM/YYYY"))))))</f>
        <v/>
      </c>
    </row>
    <row r="144" spans="1:10">
      <c r="A144" s="28" t="str">
        <f>IF(Inscriptions!B138="","",Inscriptions!A138)</f>
        <v/>
      </c>
      <c r="B144" s="28" t="str">
        <f>IF(Inscriptions!B138="","",Inscriptions!B138)</f>
        <v/>
      </c>
      <c r="C144" s="28" t="str">
        <f>IF(Inscriptions!B138="","",Inscriptions!C138)</f>
        <v/>
      </c>
      <c r="D144" s="28" t="str">
        <f>IF(Inscriptions!B138="","",Inscriptions!G138)</f>
        <v/>
      </c>
      <c r="E144" s="28" t="str">
        <f>IF(Inscriptions!B138="","",IF(AND(Inscriptions!I138="Oui",Inscriptions!J138="Oui"),"Football + Loisirs",IF(Inscriptions!I138="Oui","Football",IF(Inscriptions!J138="Oui","Centre Loisirs",""))))</f>
        <v/>
      </c>
      <c r="F144" s="28" t="str">
        <f>IF(Inscriptions!B138="","",Inscriptions!N138)</f>
        <v/>
      </c>
      <c r="G144" s="28" t="str">
        <f>IF(Inscriptions!B138="","",Inscriptions!O138)</f>
        <v/>
      </c>
      <c r="H144" s="28" t="str">
        <f>IF(Inscriptions!B138="","",IF(Inscriptions!S138="","—",Inscriptions!S138&amp;" j"))</f>
        <v/>
      </c>
      <c r="I144" s="28" t="str">
        <f>IF(Inscriptions!B138="","",IF(Inscriptions!O138="Payé","✅ Confirmation",IF(AND(Inscriptions!S138&lt;&gt;"",Inscriptions!S138&gt;0),"🔴 Retard","🟡 Rappel")))</f>
        <v/>
      </c>
      <c r="J144" s="29" t="str">
        <f>IF(Inscriptions!B138="","",IF(Inscriptions!O138="Payé",SUBSTITUTE(SUBSTITUTE(SUBSTITUTE(SUBSTITUTE(C5,"{MONTANT}",TEXT(Inscriptions!N138,"#,##0")&amp;" MRU"),"{PRENOM}",Inscriptions!C138),"{NOM}",Inscriptions!B138),"{PRESTATION}",E144),IF(AND(Inscriptions!S138&lt;&gt;"",Inscriptions!S138&gt;0),SUBSTITUTE(SUBSTITUTE(SUBSTITUTE(SUBSTITUTE(C4,"{MONTANT}",TEXT(Inscriptions!N138,"#,##0")&amp;" MRU"),"{PRENOM}",Inscriptions!C138),"{NOM}",Inscriptions!B138),"{RETARD}",TEXT(Inscriptions!S138,"0")),SUBSTITUTE(SUBSTITUTE(SUBSTITUTE(SUBSTITUTE(SUBSTITUTE(C3,"{MONTANT}",TEXT(Inscriptions!N138,"#,##0")&amp;" MRU"),"{PRENOM}",Inscriptions!C138),"{NOM}",Inscriptions!B138),"{PRESTATION}",E144),"{DATE_LIMITE}",IF(Inscriptions!R138="","non définie",TEXT(Inscriptions!R138,"DD/MM/YYYY"))))))</f>
        <v/>
      </c>
    </row>
    <row r="145" spans="1:10">
      <c r="A145" s="26" t="str">
        <f>IF(Inscriptions!B139="","",Inscriptions!A139)</f>
        <v/>
      </c>
      <c r="B145" s="26" t="str">
        <f>IF(Inscriptions!B139="","",Inscriptions!B139)</f>
        <v/>
      </c>
      <c r="C145" s="26" t="str">
        <f>IF(Inscriptions!B139="","",Inscriptions!C139)</f>
        <v/>
      </c>
      <c r="D145" s="26" t="str">
        <f>IF(Inscriptions!B139="","",Inscriptions!G139)</f>
        <v/>
      </c>
      <c r="E145" s="26" t="str">
        <f>IF(Inscriptions!B139="","",IF(AND(Inscriptions!I139="Oui",Inscriptions!J139="Oui"),"Football + Loisirs",IF(Inscriptions!I139="Oui","Football",IF(Inscriptions!J139="Oui","Centre Loisirs",""))))</f>
        <v/>
      </c>
      <c r="F145" s="26" t="str">
        <f>IF(Inscriptions!B139="","",Inscriptions!N139)</f>
        <v/>
      </c>
      <c r="G145" s="26" t="str">
        <f>IF(Inscriptions!B139="","",Inscriptions!O139)</f>
        <v/>
      </c>
      <c r="H145" s="26" t="str">
        <f>IF(Inscriptions!B139="","",IF(Inscriptions!S139="","—",Inscriptions!S139&amp;" j"))</f>
        <v/>
      </c>
      <c r="I145" s="26" t="str">
        <f>IF(Inscriptions!B139="","",IF(Inscriptions!O139="Payé","✅ Confirmation",IF(AND(Inscriptions!S139&lt;&gt;"",Inscriptions!S139&gt;0),"🔴 Retard","🟡 Rappel")))</f>
        <v/>
      </c>
      <c r="J145" s="27" t="str">
        <f>IF(Inscriptions!B139="","",IF(Inscriptions!O139="Payé",SUBSTITUTE(SUBSTITUTE(SUBSTITUTE(SUBSTITUTE(C5,"{MONTANT}",TEXT(Inscriptions!N139,"#,##0")&amp;" MRU"),"{PRENOM}",Inscriptions!C139),"{NOM}",Inscriptions!B139),"{PRESTATION}",E145),IF(AND(Inscriptions!S139&lt;&gt;"",Inscriptions!S139&gt;0),SUBSTITUTE(SUBSTITUTE(SUBSTITUTE(SUBSTITUTE(C4,"{MONTANT}",TEXT(Inscriptions!N139,"#,##0")&amp;" MRU"),"{PRENOM}",Inscriptions!C139),"{NOM}",Inscriptions!B139),"{RETARD}",TEXT(Inscriptions!S139,"0")),SUBSTITUTE(SUBSTITUTE(SUBSTITUTE(SUBSTITUTE(SUBSTITUTE(C3,"{MONTANT}",TEXT(Inscriptions!N139,"#,##0")&amp;" MRU"),"{PRENOM}",Inscriptions!C139),"{NOM}",Inscriptions!B139),"{PRESTATION}",E145),"{DATE_LIMITE}",IF(Inscriptions!R139="","non définie",TEXT(Inscriptions!R139,"DD/MM/YYYY"))))))</f>
        <v/>
      </c>
    </row>
    <row r="146" spans="1:10">
      <c r="A146" s="28" t="str">
        <f>IF(Inscriptions!B140="","",Inscriptions!A140)</f>
        <v/>
      </c>
      <c r="B146" s="28" t="str">
        <f>IF(Inscriptions!B140="","",Inscriptions!B140)</f>
        <v/>
      </c>
      <c r="C146" s="28" t="str">
        <f>IF(Inscriptions!B140="","",Inscriptions!C140)</f>
        <v/>
      </c>
      <c r="D146" s="28" t="str">
        <f>IF(Inscriptions!B140="","",Inscriptions!G140)</f>
        <v/>
      </c>
      <c r="E146" s="28" t="str">
        <f>IF(Inscriptions!B140="","",IF(AND(Inscriptions!I140="Oui",Inscriptions!J140="Oui"),"Football + Loisirs",IF(Inscriptions!I140="Oui","Football",IF(Inscriptions!J140="Oui","Centre Loisirs",""))))</f>
        <v/>
      </c>
      <c r="F146" s="28" t="str">
        <f>IF(Inscriptions!B140="","",Inscriptions!N140)</f>
        <v/>
      </c>
      <c r="G146" s="28" t="str">
        <f>IF(Inscriptions!B140="","",Inscriptions!O140)</f>
        <v/>
      </c>
      <c r="H146" s="28" t="str">
        <f>IF(Inscriptions!B140="","",IF(Inscriptions!S140="","—",Inscriptions!S140&amp;" j"))</f>
        <v/>
      </c>
      <c r="I146" s="28" t="str">
        <f>IF(Inscriptions!B140="","",IF(Inscriptions!O140="Payé","✅ Confirmation",IF(AND(Inscriptions!S140&lt;&gt;"",Inscriptions!S140&gt;0),"🔴 Retard","🟡 Rappel")))</f>
        <v/>
      </c>
      <c r="J146" s="29" t="str">
        <f>IF(Inscriptions!B140="","",IF(Inscriptions!O140="Payé",SUBSTITUTE(SUBSTITUTE(SUBSTITUTE(SUBSTITUTE(C5,"{MONTANT}",TEXT(Inscriptions!N140,"#,##0")&amp;" MRU"),"{PRENOM}",Inscriptions!C140),"{NOM}",Inscriptions!B140),"{PRESTATION}",E146),IF(AND(Inscriptions!S140&lt;&gt;"",Inscriptions!S140&gt;0),SUBSTITUTE(SUBSTITUTE(SUBSTITUTE(SUBSTITUTE(C4,"{MONTANT}",TEXT(Inscriptions!N140,"#,##0")&amp;" MRU"),"{PRENOM}",Inscriptions!C140),"{NOM}",Inscriptions!B140),"{RETARD}",TEXT(Inscriptions!S140,"0")),SUBSTITUTE(SUBSTITUTE(SUBSTITUTE(SUBSTITUTE(SUBSTITUTE(C3,"{MONTANT}",TEXT(Inscriptions!N140,"#,##0")&amp;" MRU"),"{PRENOM}",Inscriptions!C140),"{NOM}",Inscriptions!B140),"{PRESTATION}",E146),"{DATE_LIMITE}",IF(Inscriptions!R140="","non définie",TEXT(Inscriptions!R140,"DD/MM/YYYY"))))))</f>
        <v/>
      </c>
    </row>
    <row r="147" spans="1:10">
      <c r="A147" s="26" t="str">
        <f>IF(Inscriptions!B141="","",Inscriptions!A141)</f>
        <v/>
      </c>
      <c r="B147" s="26" t="str">
        <f>IF(Inscriptions!B141="","",Inscriptions!B141)</f>
        <v/>
      </c>
      <c r="C147" s="26" t="str">
        <f>IF(Inscriptions!B141="","",Inscriptions!C141)</f>
        <v/>
      </c>
      <c r="D147" s="26" t="str">
        <f>IF(Inscriptions!B141="","",Inscriptions!G141)</f>
        <v/>
      </c>
      <c r="E147" s="26" t="str">
        <f>IF(Inscriptions!B141="","",IF(AND(Inscriptions!I141="Oui",Inscriptions!J141="Oui"),"Football + Loisirs",IF(Inscriptions!I141="Oui","Football",IF(Inscriptions!J141="Oui","Centre Loisirs",""))))</f>
        <v/>
      </c>
      <c r="F147" s="26" t="str">
        <f>IF(Inscriptions!B141="","",Inscriptions!N141)</f>
        <v/>
      </c>
      <c r="G147" s="26" t="str">
        <f>IF(Inscriptions!B141="","",Inscriptions!O141)</f>
        <v/>
      </c>
      <c r="H147" s="26" t="str">
        <f>IF(Inscriptions!B141="","",IF(Inscriptions!S141="","—",Inscriptions!S141&amp;" j"))</f>
        <v/>
      </c>
      <c r="I147" s="26" t="str">
        <f>IF(Inscriptions!B141="","",IF(Inscriptions!O141="Payé","✅ Confirmation",IF(AND(Inscriptions!S141&lt;&gt;"",Inscriptions!S141&gt;0),"🔴 Retard","🟡 Rappel")))</f>
        <v/>
      </c>
      <c r="J147" s="27" t="str">
        <f>IF(Inscriptions!B141="","",IF(Inscriptions!O141="Payé",SUBSTITUTE(SUBSTITUTE(SUBSTITUTE(SUBSTITUTE(C5,"{MONTANT}",TEXT(Inscriptions!N141,"#,##0")&amp;" MRU"),"{PRENOM}",Inscriptions!C141),"{NOM}",Inscriptions!B141),"{PRESTATION}",E147),IF(AND(Inscriptions!S141&lt;&gt;"",Inscriptions!S141&gt;0),SUBSTITUTE(SUBSTITUTE(SUBSTITUTE(SUBSTITUTE(C4,"{MONTANT}",TEXT(Inscriptions!N141,"#,##0")&amp;" MRU"),"{PRENOM}",Inscriptions!C141),"{NOM}",Inscriptions!B141),"{RETARD}",TEXT(Inscriptions!S141,"0")),SUBSTITUTE(SUBSTITUTE(SUBSTITUTE(SUBSTITUTE(SUBSTITUTE(C3,"{MONTANT}",TEXT(Inscriptions!N141,"#,##0")&amp;" MRU"),"{PRENOM}",Inscriptions!C141),"{NOM}",Inscriptions!B141),"{PRESTATION}",E147),"{DATE_LIMITE}",IF(Inscriptions!R141="","non définie",TEXT(Inscriptions!R141,"DD/MM/YYYY"))))))</f>
        <v/>
      </c>
    </row>
    <row r="148" spans="1:10">
      <c r="A148" s="28" t="str">
        <f>IF(Inscriptions!B142="","",Inscriptions!A142)</f>
        <v/>
      </c>
      <c r="B148" s="28" t="str">
        <f>IF(Inscriptions!B142="","",Inscriptions!B142)</f>
        <v/>
      </c>
      <c r="C148" s="28" t="str">
        <f>IF(Inscriptions!B142="","",Inscriptions!C142)</f>
        <v/>
      </c>
      <c r="D148" s="28" t="str">
        <f>IF(Inscriptions!B142="","",Inscriptions!G142)</f>
        <v/>
      </c>
      <c r="E148" s="28" t="str">
        <f>IF(Inscriptions!B142="","",IF(AND(Inscriptions!I142="Oui",Inscriptions!J142="Oui"),"Football + Loisirs",IF(Inscriptions!I142="Oui","Football",IF(Inscriptions!J142="Oui","Centre Loisirs",""))))</f>
        <v/>
      </c>
      <c r="F148" s="28" t="str">
        <f>IF(Inscriptions!B142="","",Inscriptions!N142)</f>
        <v/>
      </c>
      <c r="G148" s="28" t="str">
        <f>IF(Inscriptions!B142="","",Inscriptions!O142)</f>
        <v/>
      </c>
      <c r="H148" s="28" t="str">
        <f>IF(Inscriptions!B142="","",IF(Inscriptions!S142="","—",Inscriptions!S142&amp;" j"))</f>
        <v/>
      </c>
      <c r="I148" s="28" t="str">
        <f>IF(Inscriptions!B142="","",IF(Inscriptions!O142="Payé","✅ Confirmation",IF(AND(Inscriptions!S142&lt;&gt;"",Inscriptions!S142&gt;0),"🔴 Retard","🟡 Rappel")))</f>
        <v/>
      </c>
      <c r="J148" s="29" t="str">
        <f>IF(Inscriptions!B142="","",IF(Inscriptions!O142="Payé",SUBSTITUTE(SUBSTITUTE(SUBSTITUTE(SUBSTITUTE(C5,"{MONTANT}",TEXT(Inscriptions!N142,"#,##0")&amp;" MRU"),"{PRENOM}",Inscriptions!C142),"{NOM}",Inscriptions!B142),"{PRESTATION}",E148),IF(AND(Inscriptions!S142&lt;&gt;"",Inscriptions!S142&gt;0),SUBSTITUTE(SUBSTITUTE(SUBSTITUTE(SUBSTITUTE(C4,"{MONTANT}",TEXT(Inscriptions!N142,"#,##0")&amp;" MRU"),"{PRENOM}",Inscriptions!C142),"{NOM}",Inscriptions!B142),"{RETARD}",TEXT(Inscriptions!S142,"0")),SUBSTITUTE(SUBSTITUTE(SUBSTITUTE(SUBSTITUTE(SUBSTITUTE(C3,"{MONTANT}",TEXT(Inscriptions!N142,"#,##0")&amp;" MRU"),"{PRENOM}",Inscriptions!C142),"{NOM}",Inscriptions!B142),"{PRESTATION}",E148),"{DATE_LIMITE}",IF(Inscriptions!R142="","non définie",TEXT(Inscriptions!R142,"DD/MM/YYYY"))))))</f>
        <v/>
      </c>
    </row>
    <row r="149" spans="1:10">
      <c r="A149" s="26" t="str">
        <f>IF(Inscriptions!B143="","",Inscriptions!A143)</f>
        <v/>
      </c>
      <c r="B149" s="26" t="str">
        <f>IF(Inscriptions!B143="","",Inscriptions!B143)</f>
        <v/>
      </c>
      <c r="C149" s="26" t="str">
        <f>IF(Inscriptions!B143="","",Inscriptions!C143)</f>
        <v/>
      </c>
      <c r="D149" s="26" t="str">
        <f>IF(Inscriptions!B143="","",Inscriptions!G143)</f>
        <v/>
      </c>
      <c r="E149" s="26" t="str">
        <f>IF(Inscriptions!B143="","",IF(AND(Inscriptions!I143="Oui",Inscriptions!J143="Oui"),"Football + Loisirs",IF(Inscriptions!I143="Oui","Football",IF(Inscriptions!J143="Oui","Centre Loisirs",""))))</f>
        <v/>
      </c>
      <c r="F149" s="26" t="str">
        <f>IF(Inscriptions!B143="","",Inscriptions!N143)</f>
        <v/>
      </c>
      <c r="G149" s="26" t="str">
        <f>IF(Inscriptions!B143="","",Inscriptions!O143)</f>
        <v/>
      </c>
      <c r="H149" s="26" t="str">
        <f>IF(Inscriptions!B143="","",IF(Inscriptions!S143="","—",Inscriptions!S143&amp;" j"))</f>
        <v/>
      </c>
      <c r="I149" s="26" t="str">
        <f>IF(Inscriptions!B143="","",IF(Inscriptions!O143="Payé","✅ Confirmation",IF(AND(Inscriptions!S143&lt;&gt;"",Inscriptions!S143&gt;0),"🔴 Retard","🟡 Rappel")))</f>
        <v/>
      </c>
      <c r="J149" s="27" t="str">
        <f>IF(Inscriptions!B143="","",IF(Inscriptions!O143="Payé",SUBSTITUTE(SUBSTITUTE(SUBSTITUTE(SUBSTITUTE(C5,"{MONTANT}",TEXT(Inscriptions!N143,"#,##0")&amp;" MRU"),"{PRENOM}",Inscriptions!C143),"{NOM}",Inscriptions!B143),"{PRESTATION}",E149),IF(AND(Inscriptions!S143&lt;&gt;"",Inscriptions!S143&gt;0),SUBSTITUTE(SUBSTITUTE(SUBSTITUTE(SUBSTITUTE(C4,"{MONTANT}",TEXT(Inscriptions!N143,"#,##0")&amp;" MRU"),"{PRENOM}",Inscriptions!C143),"{NOM}",Inscriptions!B143),"{RETARD}",TEXT(Inscriptions!S143,"0")),SUBSTITUTE(SUBSTITUTE(SUBSTITUTE(SUBSTITUTE(SUBSTITUTE(C3,"{MONTANT}",TEXT(Inscriptions!N143,"#,##0")&amp;" MRU"),"{PRENOM}",Inscriptions!C143),"{NOM}",Inscriptions!B143),"{PRESTATION}",E149),"{DATE_LIMITE}",IF(Inscriptions!R143="","non définie",TEXT(Inscriptions!R143,"DD/MM/YYYY"))))))</f>
        <v/>
      </c>
    </row>
    <row r="150" spans="1:10">
      <c r="A150" s="28" t="str">
        <f>IF(Inscriptions!B144="","",Inscriptions!A144)</f>
        <v/>
      </c>
      <c r="B150" s="28" t="str">
        <f>IF(Inscriptions!B144="","",Inscriptions!B144)</f>
        <v/>
      </c>
      <c r="C150" s="28" t="str">
        <f>IF(Inscriptions!B144="","",Inscriptions!C144)</f>
        <v/>
      </c>
      <c r="D150" s="28" t="str">
        <f>IF(Inscriptions!B144="","",Inscriptions!G144)</f>
        <v/>
      </c>
      <c r="E150" s="28" t="str">
        <f>IF(Inscriptions!B144="","",IF(AND(Inscriptions!I144="Oui",Inscriptions!J144="Oui"),"Football + Loisirs",IF(Inscriptions!I144="Oui","Football",IF(Inscriptions!J144="Oui","Centre Loisirs",""))))</f>
        <v/>
      </c>
      <c r="F150" s="28" t="str">
        <f>IF(Inscriptions!B144="","",Inscriptions!N144)</f>
        <v/>
      </c>
      <c r="G150" s="28" t="str">
        <f>IF(Inscriptions!B144="","",Inscriptions!O144)</f>
        <v/>
      </c>
      <c r="H150" s="28" t="str">
        <f>IF(Inscriptions!B144="","",IF(Inscriptions!S144="","—",Inscriptions!S144&amp;" j"))</f>
        <v/>
      </c>
      <c r="I150" s="28" t="str">
        <f>IF(Inscriptions!B144="","",IF(Inscriptions!O144="Payé","✅ Confirmation",IF(AND(Inscriptions!S144&lt;&gt;"",Inscriptions!S144&gt;0),"🔴 Retard","🟡 Rappel")))</f>
        <v/>
      </c>
      <c r="J150" s="29" t="str">
        <f>IF(Inscriptions!B144="","",IF(Inscriptions!O144="Payé",SUBSTITUTE(SUBSTITUTE(SUBSTITUTE(SUBSTITUTE(C5,"{MONTANT}",TEXT(Inscriptions!N144,"#,##0")&amp;" MRU"),"{PRENOM}",Inscriptions!C144),"{NOM}",Inscriptions!B144),"{PRESTATION}",E150),IF(AND(Inscriptions!S144&lt;&gt;"",Inscriptions!S144&gt;0),SUBSTITUTE(SUBSTITUTE(SUBSTITUTE(SUBSTITUTE(C4,"{MONTANT}",TEXT(Inscriptions!N144,"#,##0")&amp;" MRU"),"{PRENOM}",Inscriptions!C144),"{NOM}",Inscriptions!B144),"{RETARD}",TEXT(Inscriptions!S144,"0")),SUBSTITUTE(SUBSTITUTE(SUBSTITUTE(SUBSTITUTE(SUBSTITUTE(C3,"{MONTANT}",TEXT(Inscriptions!N144,"#,##0")&amp;" MRU"),"{PRENOM}",Inscriptions!C144),"{NOM}",Inscriptions!B144),"{PRESTATION}",E150),"{DATE_LIMITE}",IF(Inscriptions!R144="","non définie",TEXT(Inscriptions!R144,"DD/MM/YYYY"))))))</f>
        <v/>
      </c>
    </row>
    <row r="151" spans="1:10">
      <c r="A151" s="26" t="str">
        <f>IF(Inscriptions!B145="","",Inscriptions!A145)</f>
        <v/>
      </c>
      <c r="B151" s="26" t="str">
        <f>IF(Inscriptions!B145="","",Inscriptions!B145)</f>
        <v/>
      </c>
      <c r="C151" s="26" t="str">
        <f>IF(Inscriptions!B145="","",Inscriptions!C145)</f>
        <v/>
      </c>
      <c r="D151" s="26" t="str">
        <f>IF(Inscriptions!B145="","",Inscriptions!G145)</f>
        <v/>
      </c>
      <c r="E151" s="26" t="str">
        <f>IF(Inscriptions!B145="","",IF(AND(Inscriptions!I145="Oui",Inscriptions!J145="Oui"),"Football + Loisirs",IF(Inscriptions!I145="Oui","Football",IF(Inscriptions!J145="Oui","Centre Loisirs",""))))</f>
        <v/>
      </c>
      <c r="F151" s="26" t="str">
        <f>IF(Inscriptions!B145="","",Inscriptions!N145)</f>
        <v/>
      </c>
      <c r="G151" s="26" t="str">
        <f>IF(Inscriptions!B145="","",Inscriptions!O145)</f>
        <v/>
      </c>
      <c r="H151" s="26" t="str">
        <f>IF(Inscriptions!B145="","",IF(Inscriptions!S145="","—",Inscriptions!S145&amp;" j"))</f>
        <v/>
      </c>
      <c r="I151" s="26" t="str">
        <f>IF(Inscriptions!B145="","",IF(Inscriptions!O145="Payé","✅ Confirmation",IF(AND(Inscriptions!S145&lt;&gt;"",Inscriptions!S145&gt;0),"🔴 Retard","🟡 Rappel")))</f>
        <v/>
      </c>
      <c r="J151" s="27" t="str">
        <f>IF(Inscriptions!B145="","",IF(Inscriptions!O145="Payé",SUBSTITUTE(SUBSTITUTE(SUBSTITUTE(SUBSTITUTE(C5,"{MONTANT}",TEXT(Inscriptions!N145,"#,##0")&amp;" MRU"),"{PRENOM}",Inscriptions!C145),"{NOM}",Inscriptions!B145),"{PRESTATION}",E151),IF(AND(Inscriptions!S145&lt;&gt;"",Inscriptions!S145&gt;0),SUBSTITUTE(SUBSTITUTE(SUBSTITUTE(SUBSTITUTE(C4,"{MONTANT}",TEXT(Inscriptions!N145,"#,##0")&amp;" MRU"),"{PRENOM}",Inscriptions!C145),"{NOM}",Inscriptions!B145),"{RETARD}",TEXT(Inscriptions!S145,"0")),SUBSTITUTE(SUBSTITUTE(SUBSTITUTE(SUBSTITUTE(SUBSTITUTE(C3,"{MONTANT}",TEXT(Inscriptions!N145,"#,##0")&amp;" MRU"),"{PRENOM}",Inscriptions!C145),"{NOM}",Inscriptions!B145),"{PRESTATION}",E151),"{DATE_LIMITE}",IF(Inscriptions!R145="","non définie",TEXT(Inscriptions!R145,"DD/MM/YYYY"))))))</f>
        <v/>
      </c>
    </row>
    <row r="152" spans="1:10">
      <c r="A152" s="28" t="str">
        <f>IF(Inscriptions!B146="","",Inscriptions!A146)</f>
        <v/>
      </c>
      <c r="B152" s="28" t="str">
        <f>IF(Inscriptions!B146="","",Inscriptions!B146)</f>
        <v/>
      </c>
      <c r="C152" s="28" t="str">
        <f>IF(Inscriptions!B146="","",Inscriptions!C146)</f>
        <v/>
      </c>
      <c r="D152" s="28" t="str">
        <f>IF(Inscriptions!B146="","",Inscriptions!G146)</f>
        <v/>
      </c>
      <c r="E152" s="28" t="str">
        <f>IF(Inscriptions!B146="","",IF(AND(Inscriptions!I146="Oui",Inscriptions!J146="Oui"),"Football + Loisirs",IF(Inscriptions!I146="Oui","Football",IF(Inscriptions!J146="Oui","Centre Loisirs",""))))</f>
        <v/>
      </c>
      <c r="F152" s="28" t="str">
        <f>IF(Inscriptions!B146="","",Inscriptions!N146)</f>
        <v/>
      </c>
      <c r="G152" s="28" t="str">
        <f>IF(Inscriptions!B146="","",Inscriptions!O146)</f>
        <v/>
      </c>
      <c r="H152" s="28" t="str">
        <f>IF(Inscriptions!B146="","",IF(Inscriptions!S146="","—",Inscriptions!S146&amp;" j"))</f>
        <v/>
      </c>
      <c r="I152" s="28" t="str">
        <f>IF(Inscriptions!B146="","",IF(Inscriptions!O146="Payé","✅ Confirmation",IF(AND(Inscriptions!S146&lt;&gt;"",Inscriptions!S146&gt;0),"🔴 Retard","🟡 Rappel")))</f>
        <v/>
      </c>
      <c r="J152" s="29" t="str">
        <f>IF(Inscriptions!B146="","",IF(Inscriptions!O146="Payé",SUBSTITUTE(SUBSTITUTE(SUBSTITUTE(SUBSTITUTE(C5,"{MONTANT}",TEXT(Inscriptions!N146,"#,##0")&amp;" MRU"),"{PRENOM}",Inscriptions!C146),"{NOM}",Inscriptions!B146),"{PRESTATION}",E152),IF(AND(Inscriptions!S146&lt;&gt;"",Inscriptions!S146&gt;0),SUBSTITUTE(SUBSTITUTE(SUBSTITUTE(SUBSTITUTE(C4,"{MONTANT}",TEXT(Inscriptions!N146,"#,##0")&amp;" MRU"),"{PRENOM}",Inscriptions!C146),"{NOM}",Inscriptions!B146),"{RETARD}",TEXT(Inscriptions!S146,"0")),SUBSTITUTE(SUBSTITUTE(SUBSTITUTE(SUBSTITUTE(SUBSTITUTE(C3,"{MONTANT}",TEXT(Inscriptions!N146,"#,##0")&amp;" MRU"),"{PRENOM}",Inscriptions!C146),"{NOM}",Inscriptions!B146),"{PRESTATION}",E152),"{DATE_LIMITE}",IF(Inscriptions!R146="","non définie",TEXT(Inscriptions!R146,"DD/MM/YYYY"))))))</f>
        <v/>
      </c>
    </row>
    <row r="153" spans="1:10">
      <c r="A153" s="26" t="str">
        <f>IF(Inscriptions!B147="","",Inscriptions!A147)</f>
        <v/>
      </c>
      <c r="B153" s="26" t="str">
        <f>IF(Inscriptions!B147="","",Inscriptions!B147)</f>
        <v/>
      </c>
      <c r="C153" s="26" t="str">
        <f>IF(Inscriptions!B147="","",Inscriptions!C147)</f>
        <v/>
      </c>
      <c r="D153" s="26" t="str">
        <f>IF(Inscriptions!B147="","",Inscriptions!G147)</f>
        <v/>
      </c>
      <c r="E153" s="26" t="str">
        <f>IF(Inscriptions!B147="","",IF(AND(Inscriptions!I147="Oui",Inscriptions!J147="Oui"),"Football + Loisirs",IF(Inscriptions!I147="Oui","Football",IF(Inscriptions!J147="Oui","Centre Loisirs",""))))</f>
        <v/>
      </c>
      <c r="F153" s="26" t="str">
        <f>IF(Inscriptions!B147="","",Inscriptions!N147)</f>
        <v/>
      </c>
      <c r="G153" s="26" t="str">
        <f>IF(Inscriptions!B147="","",Inscriptions!O147)</f>
        <v/>
      </c>
      <c r="H153" s="26" t="str">
        <f>IF(Inscriptions!B147="","",IF(Inscriptions!S147="","—",Inscriptions!S147&amp;" j"))</f>
        <v/>
      </c>
      <c r="I153" s="26" t="str">
        <f>IF(Inscriptions!B147="","",IF(Inscriptions!O147="Payé","✅ Confirmation",IF(AND(Inscriptions!S147&lt;&gt;"",Inscriptions!S147&gt;0),"🔴 Retard","🟡 Rappel")))</f>
        <v/>
      </c>
      <c r="J153" s="27" t="str">
        <f>IF(Inscriptions!B147="","",IF(Inscriptions!O147="Payé",SUBSTITUTE(SUBSTITUTE(SUBSTITUTE(SUBSTITUTE(C5,"{MONTANT}",TEXT(Inscriptions!N147,"#,##0")&amp;" MRU"),"{PRENOM}",Inscriptions!C147),"{NOM}",Inscriptions!B147),"{PRESTATION}",E153),IF(AND(Inscriptions!S147&lt;&gt;"",Inscriptions!S147&gt;0),SUBSTITUTE(SUBSTITUTE(SUBSTITUTE(SUBSTITUTE(C4,"{MONTANT}",TEXT(Inscriptions!N147,"#,##0")&amp;" MRU"),"{PRENOM}",Inscriptions!C147),"{NOM}",Inscriptions!B147),"{RETARD}",TEXT(Inscriptions!S147,"0")),SUBSTITUTE(SUBSTITUTE(SUBSTITUTE(SUBSTITUTE(SUBSTITUTE(C3,"{MONTANT}",TEXT(Inscriptions!N147,"#,##0")&amp;" MRU"),"{PRENOM}",Inscriptions!C147),"{NOM}",Inscriptions!B147),"{PRESTATION}",E153),"{DATE_LIMITE}",IF(Inscriptions!R147="","non définie",TEXT(Inscriptions!R147,"DD/MM/YYYY"))))))</f>
        <v/>
      </c>
    </row>
    <row r="154" spans="1:10">
      <c r="A154" s="28" t="str">
        <f>IF(Inscriptions!B148="","",Inscriptions!A148)</f>
        <v/>
      </c>
      <c r="B154" s="28" t="str">
        <f>IF(Inscriptions!B148="","",Inscriptions!B148)</f>
        <v/>
      </c>
      <c r="C154" s="28" t="str">
        <f>IF(Inscriptions!B148="","",Inscriptions!C148)</f>
        <v/>
      </c>
      <c r="D154" s="28" t="str">
        <f>IF(Inscriptions!B148="","",Inscriptions!G148)</f>
        <v/>
      </c>
      <c r="E154" s="28" t="str">
        <f>IF(Inscriptions!B148="","",IF(AND(Inscriptions!I148="Oui",Inscriptions!J148="Oui"),"Football + Loisirs",IF(Inscriptions!I148="Oui","Football",IF(Inscriptions!J148="Oui","Centre Loisirs",""))))</f>
        <v/>
      </c>
      <c r="F154" s="28" t="str">
        <f>IF(Inscriptions!B148="","",Inscriptions!N148)</f>
        <v/>
      </c>
      <c r="G154" s="28" t="str">
        <f>IF(Inscriptions!B148="","",Inscriptions!O148)</f>
        <v/>
      </c>
      <c r="H154" s="28" t="str">
        <f>IF(Inscriptions!B148="","",IF(Inscriptions!S148="","—",Inscriptions!S148&amp;" j"))</f>
        <v/>
      </c>
      <c r="I154" s="28" t="str">
        <f>IF(Inscriptions!B148="","",IF(Inscriptions!O148="Payé","✅ Confirmation",IF(AND(Inscriptions!S148&lt;&gt;"",Inscriptions!S148&gt;0),"🔴 Retard","🟡 Rappel")))</f>
        <v/>
      </c>
      <c r="J154" s="29" t="str">
        <f>IF(Inscriptions!B148="","",IF(Inscriptions!O148="Payé",SUBSTITUTE(SUBSTITUTE(SUBSTITUTE(SUBSTITUTE(C5,"{MONTANT}",TEXT(Inscriptions!N148,"#,##0")&amp;" MRU"),"{PRENOM}",Inscriptions!C148),"{NOM}",Inscriptions!B148),"{PRESTATION}",E154),IF(AND(Inscriptions!S148&lt;&gt;"",Inscriptions!S148&gt;0),SUBSTITUTE(SUBSTITUTE(SUBSTITUTE(SUBSTITUTE(C4,"{MONTANT}",TEXT(Inscriptions!N148,"#,##0")&amp;" MRU"),"{PRENOM}",Inscriptions!C148),"{NOM}",Inscriptions!B148),"{RETARD}",TEXT(Inscriptions!S148,"0")),SUBSTITUTE(SUBSTITUTE(SUBSTITUTE(SUBSTITUTE(SUBSTITUTE(C3,"{MONTANT}",TEXT(Inscriptions!N148,"#,##0")&amp;" MRU"),"{PRENOM}",Inscriptions!C148),"{NOM}",Inscriptions!B148),"{PRESTATION}",E154),"{DATE_LIMITE}",IF(Inscriptions!R148="","non définie",TEXT(Inscriptions!R148,"DD/MM/YYYY"))))))</f>
        <v/>
      </c>
    </row>
    <row r="155" spans="1:10">
      <c r="A155" s="26" t="str">
        <f>IF(Inscriptions!B149="","",Inscriptions!A149)</f>
        <v/>
      </c>
      <c r="B155" s="26" t="str">
        <f>IF(Inscriptions!B149="","",Inscriptions!B149)</f>
        <v/>
      </c>
      <c r="C155" s="26" t="str">
        <f>IF(Inscriptions!B149="","",Inscriptions!C149)</f>
        <v/>
      </c>
      <c r="D155" s="26" t="str">
        <f>IF(Inscriptions!B149="","",Inscriptions!G149)</f>
        <v/>
      </c>
      <c r="E155" s="26" t="str">
        <f>IF(Inscriptions!B149="","",IF(AND(Inscriptions!I149="Oui",Inscriptions!J149="Oui"),"Football + Loisirs",IF(Inscriptions!I149="Oui","Football",IF(Inscriptions!J149="Oui","Centre Loisirs",""))))</f>
        <v/>
      </c>
      <c r="F155" s="26" t="str">
        <f>IF(Inscriptions!B149="","",Inscriptions!N149)</f>
        <v/>
      </c>
      <c r="G155" s="26" t="str">
        <f>IF(Inscriptions!B149="","",Inscriptions!O149)</f>
        <v/>
      </c>
      <c r="H155" s="26" t="str">
        <f>IF(Inscriptions!B149="","",IF(Inscriptions!S149="","—",Inscriptions!S149&amp;" j"))</f>
        <v/>
      </c>
      <c r="I155" s="26" t="str">
        <f>IF(Inscriptions!B149="","",IF(Inscriptions!O149="Payé","✅ Confirmation",IF(AND(Inscriptions!S149&lt;&gt;"",Inscriptions!S149&gt;0),"🔴 Retard","🟡 Rappel")))</f>
        <v/>
      </c>
      <c r="J155" s="27" t="str">
        <f>IF(Inscriptions!B149="","",IF(Inscriptions!O149="Payé",SUBSTITUTE(SUBSTITUTE(SUBSTITUTE(SUBSTITUTE(C5,"{MONTANT}",TEXT(Inscriptions!N149,"#,##0")&amp;" MRU"),"{PRENOM}",Inscriptions!C149),"{NOM}",Inscriptions!B149),"{PRESTATION}",E155),IF(AND(Inscriptions!S149&lt;&gt;"",Inscriptions!S149&gt;0),SUBSTITUTE(SUBSTITUTE(SUBSTITUTE(SUBSTITUTE(C4,"{MONTANT}",TEXT(Inscriptions!N149,"#,##0")&amp;" MRU"),"{PRENOM}",Inscriptions!C149),"{NOM}",Inscriptions!B149),"{RETARD}",TEXT(Inscriptions!S149,"0")),SUBSTITUTE(SUBSTITUTE(SUBSTITUTE(SUBSTITUTE(SUBSTITUTE(C3,"{MONTANT}",TEXT(Inscriptions!N149,"#,##0")&amp;" MRU"),"{PRENOM}",Inscriptions!C149),"{NOM}",Inscriptions!B149),"{PRESTATION}",E155),"{DATE_LIMITE}",IF(Inscriptions!R149="","non définie",TEXT(Inscriptions!R149,"DD/MM/YYYY"))))))</f>
        <v/>
      </c>
    </row>
    <row r="156" spans="1:10">
      <c r="A156" s="28" t="str">
        <f>IF(Inscriptions!B150="","",Inscriptions!A150)</f>
        <v/>
      </c>
      <c r="B156" s="28" t="str">
        <f>IF(Inscriptions!B150="","",Inscriptions!B150)</f>
        <v/>
      </c>
      <c r="C156" s="28" t="str">
        <f>IF(Inscriptions!B150="","",Inscriptions!C150)</f>
        <v/>
      </c>
      <c r="D156" s="28" t="str">
        <f>IF(Inscriptions!B150="","",Inscriptions!G150)</f>
        <v/>
      </c>
      <c r="E156" s="28" t="str">
        <f>IF(Inscriptions!B150="","",IF(AND(Inscriptions!I150="Oui",Inscriptions!J150="Oui"),"Football + Loisirs",IF(Inscriptions!I150="Oui","Football",IF(Inscriptions!J150="Oui","Centre Loisirs",""))))</f>
        <v/>
      </c>
      <c r="F156" s="28" t="str">
        <f>IF(Inscriptions!B150="","",Inscriptions!N150)</f>
        <v/>
      </c>
      <c r="G156" s="28" t="str">
        <f>IF(Inscriptions!B150="","",Inscriptions!O150)</f>
        <v/>
      </c>
      <c r="H156" s="28" t="str">
        <f>IF(Inscriptions!B150="","",IF(Inscriptions!S150="","—",Inscriptions!S150&amp;" j"))</f>
        <v/>
      </c>
      <c r="I156" s="28" t="str">
        <f>IF(Inscriptions!B150="","",IF(Inscriptions!O150="Payé","✅ Confirmation",IF(AND(Inscriptions!S150&lt;&gt;"",Inscriptions!S150&gt;0),"🔴 Retard","🟡 Rappel")))</f>
        <v/>
      </c>
      <c r="J156" s="29" t="str">
        <f>IF(Inscriptions!B150="","",IF(Inscriptions!O150="Payé",SUBSTITUTE(SUBSTITUTE(SUBSTITUTE(SUBSTITUTE(C5,"{MONTANT}",TEXT(Inscriptions!N150,"#,##0")&amp;" MRU"),"{PRENOM}",Inscriptions!C150),"{NOM}",Inscriptions!B150),"{PRESTATION}",E156),IF(AND(Inscriptions!S150&lt;&gt;"",Inscriptions!S150&gt;0),SUBSTITUTE(SUBSTITUTE(SUBSTITUTE(SUBSTITUTE(C4,"{MONTANT}",TEXT(Inscriptions!N150,"#,##0")&amp;" MRU"),"{PRENOM}",Inscriptions!C150),"{NOM}",Inscriptions!B150),"{RETARD}",TEXT(Inscriptions!S150,"0")),SUBSTITUTE(SUBSTITUTE(SUBSTITUTE(SUBSTITUTE(SUBSTITUTE(C3,"{MONTANT}",TEXT(Inscriptions!N150,"#,##0")&amp;" MRU"),"{PRENOM}",Inscriptions!C150),"{NOM}",Inscriptions!B150),"{PRESTATION}",E156),"{DATE_LIMITE}",IF(Inscriptions!R150="","non définie",TEXT(Inscriptions!R150,"DD/MM/YYYY"))))))</f>
        <v/>
      </c>
    </row>
    <row r="157" spans="1:10">
      <c r="A157" s="26" t="str">
        <f>IF(Inscriptions!B151="","",Inscriptions!A151)</f>
        <v/>
      </c>
      <c r="B157" s="26" t="str">
        <f>IF(Inscriptions!B151="","",Inscriptions!B151)</f>
        <v/>
      </c>
      <c r="C157" s="26" t="str">
        <f>IF(Inscriptions!B151="","",Inscriptions!C151)</f>
        <v/>
      </c>
      <c r="D157" s="26" t="str">
        <f>IF(Inscriptions!B151="","",Inscriptions!G151)</f>
        <v/>
      </c>
      <c r="E157" s="26" t="str">
        <f>IF(Inscriptions!B151="","",IF(AND(Inscriptions!I151="Oui",Inscriptions!J151="Oui"),"Football + Loisirs",IF(Inscriptions!I151="Oui","Football",IF(Inscriptions!J151="Oui","Centre Loisirs",""))))</f>
        <v/>
      </c>
      <c r="F157" s="26" t="str">
        <f>IF(Inscriptions!B151="","",Inscriptions!N151)</f>
        <v/>
      </c>
      <c r="G157" s="26" t="str">
        <f>IF(Inscriptions!B151="","",Inscriptions!O151)</f>
        <v/>
      </c>
      <c r="H157" s="26" t="str">
        <f>IF(Inscriptions!B151="","",IF(Inscriptions!S151="","—",Inscriptions!S151&amp;" j"))</f>
        <v/>
      </c>
      <c r="I157" s="26" t="str">
        <f>IF(Inscriptions!B151="","",IF(Inscriptions!O151="Payé","✅ Confirmation",IF(AND(Inscriptions!S151&lt;&gt;"",Inscriptions!S151&gt;0),"🔴 Retard","🟡 Rappel")))</f>
        <v/>
      </c>
      <c r="J157" s="27" t="str">
        <f>IF(Inscriptions!B151="","",IF(Inscriptions!O151="Payé",SUBSTITUTE(SUBSTITUTE(SUBSTITUTE(SUBSTITUTE(C5,"{MONTANT}",TEXT(Inscriptions!N151,"#,##0")&amp;" MRU"),"{PRENOM}",Inscriptions!C151),"{NOM}",Inscriptions!B151),"{PRESTATION}",E157),IF(AND(Inscriptions!S151&lt;&gt;"",Inscriptions!S151&gt;0),SUBSTITUTE(SUBSTITUTE(SUBSTITUTE(SUBSTITUTE(C4,"{MONTANT}",TEXT(Inscriptions!N151,"#,##0")&amp;" MRU"),"{PRENOM}",Inscriptions!C151),"{NOM}",Inscriptions!B151),"{RETARD}",TEXT(Inscriptions!S151,"0")),SUBSTITUTE(SUBSTITUTE(SUBSTITUTE(SUBSTITUTE(SUBSTITUTE(C3,"{MONTANT}",TEXT(Inscriptions!N151,"#,##0")&amp;" MRU"),"{PRENOM}",Inscriptions!C151),"{NOM}",Inscriptions!B151),"{PRESTATION}",E157),"{DATE_LIMITE}",IF(Inscriptions!R151="","non définie",TEXT(Inscriptions!R151,"DD/MM/YYYY"))))))</f>
        <v/>
      </c>
    </row>
    <row r="158" spans="1:10">
      <c r="A158" s="28" t="str">
        <f>IF(Inscriptions!B152="","",Inscriptions!A152)</f>
        <v/>
      </c>
      <c r="B158" s="28" t="str">
        <f>IF(Inscriptions!B152="","",Inscriptions!B152)</f>
        <v/>
      </c>
      <c r="C158" s="28" t="str">
        <f>IF(Inscriptions!B152="","",Inscriptions!C152)</f>
        <v/>
      </c>
      <c r="D158" s="28" t="str">
        <f>IF(Inscriptions!B152="","",Inscriptions!G152)</f>
        <v/>
      </c>
      <c r="E158" s="28" t="str">
        <f>IF(Inscriptions!B152="","",IF(AND(Inscriptions!I152="Oui",Inscriptions!J152="Oui"),"Football + Loisirs",IF(Inscriptions!I152="Oui","Football",IF(Inscriptions!J152="Oui","Centre Loisirs",""))))</f>
        <v/>
      </c>
      <c r="F158" s="28" t="str">
        <f>IF(Inscriptions!B152="","",Inscriptions!N152)</f>
        <v/>
      </c>
      <c r="G158" s="28" t="str">
        <f>IF(Inscriptions!B152="","",Inscriptions!O152)</f>
        <v/>
      </c>
      <c r="H158" s="28" t="str">
        <f>IF(Inscriptions!B152="","",IF(Inscriptions!S152="","—",Inscriptions!S152&amp;" j"))</f>
        <v/>
      </c>
      <c r="I158" s="28" t="str">
        <f>IF(Inscriptions!B152="","",IF(Inscriptions!O152="Payé","✅ Confirmation",IF(AND(Inscriptions!S152&lt;&gt;"",Inscriptions!S152&gt;0),"🔴 Retard","🟡 Rappel")))</f>
        <v/>
      </c>
      <c r="J158" s="29" t="str">
        <f>IF(Inscriptions!B152="","",IF(Inscriptions!O152="Payé",SUBSTITUTE(SUBSTITUTE(SUBSTITUTE(SUBSTITUTE(C5,"{MONTANT}",TEXT(Inscriptions!N152,"#,##0")&amp;" MRU"),"{PRENOM}",Inscriptions!C152),"{NOM}",Inscriptions!B152),"{PRESTATION}",E158),IF(AND(Inscriptions!S152&lt;&gt;"",Inscriptions!S152&gt;0),SUBSTITUTE(SUBSTITUTE(SUBSTITUTE(SUBSTITUTE(C4,"{MONTANT}",TEXT(Inscriptions!N152,"#,##0")&amp;" MRU"),"{PRENOM}",Inscriptions!C152),"{NOM}",Inscriptions!B152),"{RETARD}",TEXT(Inscriptions!S152,"0")),SUBSTITUTE(SUBSTITUTE(SUBSTITUTE(SUBSTITUTE(SUBSTITUTE(C3,"{MONTANT}",TEXT(Inscriptions!N152,"#,##0")&amp;" MRU"),"{PRENOM}",Inscriptions!C152),"{NOM}",Inscriptions!B152),"{PRESTATION}",E158),"{DATE_LIMITE}",IF(Inscriptions!R152="","non définie",TEXT(Inscriptions!R152,"DD/MM/YYYY"))))))</f>
        <v/>
      </c>
    </row>
    <row r="159" spans="1:10">
      <c r="A159" s="26" t="str">
        <f>IF(Inscriptions!B153="","",Inscriptions!A153)</f>
        <v/>
      </c>
      <c r="B159" s="26" t="str">
        <f>IF(Inscriptions!B153="","",Inscriptions!B153)</f>
        <v/>
      </c>
      <c r="C159" s="26" t="str">
        <f>IF(Inscriptions!B153="","",Inscriptions!C153)</f>
        <v/>
      </c>
      <c r="D159" s="26" t="str">
        <f>IF(Inscriptions!B153="","",Inscriptions!G153)</f>
        <v/>
      </c>
      <c r="E159" s="26" t="str">
        <f>IF(Inscriptions!B153="","",IF(AND(Inscriptions!I153="Oui",Inscriptions!J153="Oui"),"Football + Loisirs",IF(Inscriptions!I153="Oui","Football",IF(Inscriptions!J153="Oui","Centre Loisirs",""))))</f>
        <v/>
      </c>
      <c r="F159" s="26" t="str">
        <f>IF(Inscriptions!B153="","",Inscriptions!N153)</f>
        <v/>
      </c>
      <c r="G159" s="26" t="str">
        <f>IF(Inscriptions!B153="","",Inscriptions!O153)</f>
        <v/>
      </c>
      <c r="H159" s="26" t="str">
        <f>IF(Inscriptions!B153="","",IF(Inscriptions!S153="","—",Inscriptions!S153&amp;" j"))</f>
        <v/>
      </c>
      <c r="I159" s="26" t="str">
        <f>IF(Inscriptions!B153="","",IF(Inscriptions!O153="Payé","✅ Confirmation",IF(AND(Inscriptions!S153&lt;&gt;"",Inscriptions!S153&gt;0),"🔴 Retard","🟡 Rappel")))</f>
        <v/>
      </c>
      <c r="J159" s="27" t="str">
        <f>IF(Inscriptions!B153="","",IF(Inscriptions!O153="Payé",SUBSTITUTE(SUBSTITUTE(SUBSTITUTE(SUBSTITUTE(C5,"{MONTANT}",TEXT(Inscriptions!N153,"#,##0")&amp;" MRU"),"{PRENOM}",Inscriptions!C153),"{NOM}",Inscriptions!B153),"{PRESTATION}",E159),IF(AND(Inscriptions!S153&lt;&gt;"",Inscriptions!S153&gt;0),SUBSTITUTE(SUBSTITUTE(SUBSTITUTE(SUBSTITUTE(C4,"{MONTANT}",TEXT(Inscriptions!N153,"#,##0")&amp;" MRU"),"{PRENOM}",Inscriptions!C153),"{NOM}",Inscriptions!B153),"{RETARD}",TEXT(Inscriptions!S153,"0")),SUBSTITUTE(SUBSTITUTE(SUBSTITUTE(SUBSTITUTE(SUBSTITUTE(C3,"{MONTANT}",TEXT(Inscriptions!N153,"#,##0")&amp;" MRU"),"{PRENOM}",Inscriptions!C153),"{NOM}",Inscriptions!B153),"{PRESTATION}",E159),"{DATE_LIMITE}",IF(Inscriptions!R153="","non définie",TEXT(Inscriptions!R153,"DD/MM/YYYY"))))))</f>
        <v/>
      </c>
    </row>
    <row r="160" spans="1:10">
      <c r="A160" s="28" t="str">
        <f>IF(Inscriptions!B154="","",Inscriptions!A154)</f>
        <v/>
      </c>
      <c r="B160" s="28" t="str">
        <f>IF(Inscriptions!B154="","",Inscriptions!B154)</f>
        <v/>
      </c>
      <c r="C160" s="28" t="str">
        <f>IF(Inscriptions!B154="","",Inscriptions!C154)</f>
        <v/>
      </c>
      <c r="D160" s="28" t="str">
        <f>IF(Inscriptions!B154="","",Inscriptions!G154)</f>
        <v/>
      </c>
      <c r="E160" s="28" t="str">
        <f>IF(Inscriptions!B154="","",IF(AND(Inscriptions!I154="Oui",Inscriptions!J154="Oui"),"Football + Loisirs",IF(Inscriptions!I154="Oui","Football",IF(Inscriptions!J154="Oui","Centre Loisirs",""))))</f>
        <v/>
      </c>
      <c r="F160" s="28" t="str">
        <f>IF(Inscriptions!B154="","",Inscriptions!N154)</f>
        <v/>
      </c>
      <c r="G160" s="28" t="str">
        <f>IF(Inscriptions!B154="","",Inscriptions!O154)</f>
        <v/>
      </c>
      <c r="H160" s="28" t="str">
        <f>IF(Inscriptions!B154="","",IF(Inscriptions!S154="","—",Inscriptions!S154&amp;" j"))</f>
        <v/>
      </c>
      <c r="I160" s="28" t="str">
        <f>IF(Inscriptions!B154="","",IF(Inscriptions!O154="Payé","✅ Confirmation",IF(AND(Inscriptions!S154&lt;&gt;"",Inscriptions!S154&gt;0),"🔴 Retard","🟡 Rappel")))</f>
        <v/>
      </c>
      <c r="J160" s="29" t="str">
        <f>IF(Inscriptions!B154="","",IF(Inscriptions!O154="Payé",SUBSTITUTE(SUBSTITUTE(SUBSTITUTE(SUBSTITUTE(C5,"{MONTANT}",TEXT(Inscriptions!N154,"#,##0")&amp;" MRU"),"{PRENOM}",Inscriptions!C154),"{NOM}",Inscriptions!B154),"{PRESTATION}",E160),IF(AND(Inscriptions!S154&lt;&gt;"",Inscriptions!S154&gt;0),SUBSTITUTE(SUBSTITUTE(SUBSTITUTE(SUBSTITUTE(C4,"{MONTANT}",TEXT(Inscriptions!N154,"#,##0")&amp;" MRU"),"{PRENOM}",Inscriptions!C154),"{NOM}",Inscriptions!B154),"{RETARD}",TEXT(Inscriptions!S154,"0")),SUBSTITUTE(SUBSTITUTE(SUBSTITUTE(SUBSTITUTE(SUBSTITUTE(C3,"{MONTANT}",TEXT(Inscriptions!N154,"#,##0")&amp;" MRU"),"{PRENOM}",Inscriptions!C154),"{NOM}",Inscriptions!B154),"{PRESTATION}",E160),"{DATE_LIMITE}",IF(Inscriptions!R154="","non définie",TEXT(Inscriptions!R154,"DD/MM/YYYY"))))))</f>
        <v/>
      </c>
    </row>
    <row r="161" spans="1:10">
      <c r="A161" s="26" t="str">
        <f>IF(Inscriptions!B155="","",Inscriptions!A155)</f>
        <v/>
      </c>
      <c r="B161" s="26" t="str">
        <f>IF(Inscriptions!B155="","",Inscriptions!B155)</f>
        <v/>
      </c>
      <c r="C161" s="26" t="str">
        <f>IF(Inscriptions!B155="","",Inscriptions!C155)</f>
        <v/>
      </c>
      <c r="D161" s="26" t="str">
        <f>IF(Inscriptions!B155="","",Inscriptions!G155)</f>
        <v/>
      </c>
      <c r="E161" s="26" t="str">
        <f>IF(Inscriptions!B155="","",IF(AND(Inscriptions!I155="Oui",Inscriptions!J155="Oui"),"Football + Loisirs",IF(Inscriptions!I155="Oui","Football",IF(Inscriptions!J155="Oui","Centre Loisirs",""))))</f>
        <v/>
      </c>
      <c r="F161" s="26" t="str">
        <f>IF(Inscriptions!B155="","",Inscriptions!N155)</f>
        <v/>
      </c>
      <c r="G161" s="26" t="str">
        <f>IF(Inscriptions!B155="","",Inscriptions!O155)</f>
        <v/>
      </c>
      <c r="H161" s="26" t="str">
        <f>IF(Inscriptions!B155="","",IF(Inscriptions!S155="","—",Inscriptions!S155&amp;" j"))</f>
        <v/>
      </c>
      <c r="I161" s="26" t="str">
        <f>IF(Inscriptions!B155="","",IF(Inscriptions!O155="Payé","✅ Confirmation",IF(AND(Inscriptions!S155&lt;&gt;"",Inscriptions!S155&gt;0),"🔴 Retard","🟡 Rappel")))</f>
        <v/>
      </c>
      <c r="J161" s="27" t="str">
        <f>IF(Inscriptions!B155="","",IF(Inscriptions!O155="Payé",SUBSTITUTE(SUBSTITUTE(SUBSTITUTE(SUBSTITUTE(C5,"{MONTANT}",TEXT(Inscriptions!N155,"#,##0")&amp;" MRU"),"{PRENOM}",Inscriptions!C155),"{NOM}",Inscriptions!B155),"{PRESTATION}",E161),IF(AND(Inscriptions!S155&lt;&gt;"",Inscriptions!S155&gt;0),SUBSTITUTE(SUBSTITUTE(SUBSTITUTE(SUBSTITUTE(C4,"{MONTANT}",TEXT(Inscriptions!N155,"#,##0")&amp;" MRU"),"{PRENOM}",Inscriptions!C155),"{NOM}",Inscriptions!B155),"{RETARD}",TEXT(Inscriptions!S155,"0")),SUBSTITUTE(SUBSTITUTE(SUBSTITUTE(SUBSTITUTE(SUBSTITUTE(C3,"{MONTANT}",TEXT(Inscriptions!N155,"#,##0")&amp;" MRU"),"{PRENOM}",Inscriptions!C155),"{NOM}",Inscriptions!B155),"{PRESTATION}",E161),"{DATE_LIMITE}",IF(Inscriptions!R155="","non définie",TEXT(Inscriptions!R155,"DD/MM/YYYY"))))))</f>
        <v/>
      </c>
    </row>
    <row r="162" spans="1:10">
      <c r="A162" s="28" t="str">
        <f>IF(Inscriptions!B156="","",Inscriptions!A156)</f>
        <v/>
      </c>
      <c r="B162" s="28" t="str">
        <f>IF(Inscriptions!B156="","",Inscriptions!B156)</f>
        <v/>
      </c>
      <c r="C162" s="28" t="str">
        <f>IF(Inscriptions!B156="","",Inscriptions!C156)</f>
        <v/>
      </c>
      <c r="D162" s="28" t="str">
        <f>IF(Inscriptions!B156="","",Inscriptions!G156)</f>
        <v/>
      </c>
      <c r="E162" s="28" t="str">
        <f>IF(Inscriptions!B156="","",IF(AND(Inscriptions!I156="Oui",Inscriptions!J156="Oui"),"Football + Loisirs",IF(Inscriptions!I156="Oui","Football",IF(Inscriptions!J156="Oui","Centre Loisirs",""))))</f>
        <v/>
      </c>
      <c r="F162" s="28" t="str">
        <f>IF(Inscriptions!B156="","",Inscriptions!N156)</f>
        <v/>
      </c>
      <c r="G162" s="28" t="str">
        <f>IF(Inscriptions!B156="","",Inscriptions!O156)</f>
        <v/>
      </c>
      <c r="H162" s="28" t="str">
        <f>IF(Inscriptions!B156="","",IF(Inscriptions!S156="","—",Inscriptions!S156&amp;" j"))</f>
        <v/>
      </c>
      <c r="I162" s="28" t="str">
        <f>IF(Inscriptions!B156="","",IF(Inscriptions!O156="Payé","✅ Confirmation",IF(AND(Inscriptions!S156&lt;&gt;"",Inscriptions!S156&gt;0),"🔴 Retard","🟡 Rappel")))</f>
        <v/>
      </c>
      <c r="J162" s="29" t="str">
        <f>IF(Inscriptions!B156="","",IF(Inscriptions!O156="Payé",SUBSTITUTE(SUBSTITUTE(SUBSTITUTE(SUBSTITUTE(C5,"{MONTANT}",TEXT(Inscriptions!N156,"#,##0")&amp;" MRU"),"{PRENOM}",Inscriptions!C156),"{NOM}",Inscriptions!B156),"{PRESTATION}",E162),IF(AND(Inscriptions!S156&lt;&gt;"",Inscriptions!S156&gt;0),SUBSTITUTE(SUBSTITUTE(SUBSTITUTE(SUBSTITUTE(C4,"{MONTANT}",TEXT(Inscriptions!N156,"#,##0")&amp;" MRU"),"{PRENOM}",Inscriptions!C156),"{NOM}",Inscriptions!B156),"{RETARD}",TEXT(Inscriptions!S156,"0")),SUBSTITUTE(SUBSTITUTE(SUBSTITUTE(SUBSTITUTE(SUBSTITUTE(C3,"{MONTANT}",TEXT(Inscriptions!N156,"#,##0")&amp;" MRU"),"{PRENOM}",Inscriptions!C156),"{NOM}",Inscriptions!B156),"{PRESTATION}",E162),"{DATE_LIMITE}",IF(Inscriptions!R156="","non définie",TEXT(Inscriptions!R156,"DD/MM/YYYY"))))))</f>
        <v/>
      </c>
    </row>
    <row r="163" spans="1:10">
      <c r="A163" s="26" t="str">
        <f>IF(Inscriptions!B157="","",Inscriptions!A157)</f>
        <v/>
      </c>
      <c r="B163" s="26" t="str">
        <f>IF(Inscriptions!B157="","",Inscriptions!B157)</f>
        <v/>
      </c>
      <c r="C163" s="26" t="str">
        <f>IF(Inscriptions!B157="","",Inscriptions!C157)</f>
        <v/>
      </c>
      <c r="D163" s="26" t="str">
        <f>IF(Inscriptions!B157="","",Inscriptions!G157)</f>
        <v/>
      </c>
      <c r="E163" s="26" t="str">
        <f>IF(Inscriptions!B157="","",IF(AND(Inscriptions!I157="Oui",Inscriptions!J157="Oui"),"Football + Loisirs",IF(Inscriptions!I157="Oui","Football",IF(Inscriptions!J157="Oui","Centre Loisirs",""))))</f>
        <v/>
      </c>
      <c r="F163" s="26" t="str">
        <f>IF(Inscriptions!B157="","",Inscriptions!N157)</f>
        <v/>
      </c>
      <c r="G163" s="26" t="str">
        <f>IF(Inscriptions!B157="","",Inscriptions!O157)</f>
        <v/>
      </c>
      <c r="H163" s="26" t="str">
        <f>IF(Inscriptions!B157="","",IF(Inscriptions!S157="","—",Inscriptions!S157&amp;" j"))</f>
        <v/>
      </c>
      <c r="I163" s="26" t="str">
        <f>IF(Inscriptions!B157="","",IF(Inscriptions!O157="Payé","✅ Confirmation",IF(AND(Inscriptions!S157&lt;&gt;"",Inscriptions!S157&gt;0),"🔴 Retard","🟡 Rappel")))</f>
        <v/>
      </c>
      <c r="J163" s="27" t="str">
        <f>IF(Inscriptions!B157="","",IF(Inscriptions!O157="Payé",SUBSTITUTE(SUBSTITUTE(SUBSTITUTE(SUBSTITUTE(C5,"{MONTANT}",TEXT(Inscriptions!N157,"#,##0")&amp;" MRU"),"{PRENOM}",Inscriptions!C157),"{NOM}",Inscriptions!B157),"{PRESTATION}",E163),IF(AND(Inscriptions!S157&lt;&gt;"",Inscriptions!S157&gt;0),SUBSTITUTE(SUBSTITUTE(SUBSTITUTE(SUBSTITUTE(C4,"{MONTANT}",TEXT(Inscriptions!N157,"#,##0")&amp;" MRU"),"{PRENOM}",Inscriptions!C157),"{NOM}",Inscriptions!B157),"{RETARD}",TEXT(Inscriptions!S157,"0")),SUBSTITUTE(SUBSTITUTE(SUBSTITUTE(SUBSTITUTE(SUBSTITUTE(C3,"{MONTANT}",TEXT(Inscriptions!N157,"#,##0")&amp;" MRU"),"{PRENOM}",Inscriptions!C157),"{NOM}",Inscriptions!B157),"{PRESTATION}",E163),"{DATE_LIMITE}",IF(Inscriptions!R157="","non définie",TEXT(Inscriptions!R157,"DD/MM/YYYY"))))))</f>
        <v/>
      </c>
    </row>
    <row r="164" spans="1:10">
      <c r="A164" s="28" t="str">
        <f>IF(Inscriptions!B158="","",Inscriptions!A158)</f>
        <v/>
      </c>
      <c r="B164" s="28" t="str">
        <f>IF(Inscriptions!B158="","",Inscriptions!B158)</f>
        <v/>
      </c>
      <c r="C164" s="28" t="str">
        <f>IF(Inscriptions!B158="","",Inscriptions!C158)</f>
        <v/>
      </c>
      <c r="D164" s="28" t="str">
        <f>IF(Inscriptions!B158="","",Inscriptions!G158)</f>
        <v/>
      </c>
      <c r="E164" s="28" t="str">
        <f>IF(Inscriptions!B158="","",IF(AND(Inscriptions!I158="Oui",Inscriptions!J158="Oui"),"Football + Loisirs",IF(Inscriptions!I158="Oui","Football",IF(Inscriptions!J158="Oui","Centre Loisirs",""))))</f>
        <v/>
      </c>
      <c r="F164" s="28" t="str">
        <f>IF(Inscriptions!B158="","",Inscriptions!N158)</f>
        <v/>
      </c>
      <c r="G164" s="28" t="str">
        <f>IF(Inscriptions!B158="","",Inscriptions!O158)</f>
        <v/>
      </c>
      <c r="H164" s="28" t="str">
        <f>IF(Inscriptions!B158="","",IF(Inscriptions!S158="","—",Inscriptions!S158&amp;" j"))</f>
        <v/>
      </c>
      <c r="I164" s="28" t="str">
        <f>IF(Inscriptions!B158="","",IF(Inscriptions!O158="Payé","✅ Confirmation",IF(AND(Inscriptions!S158&lt;&gt;"",Inscriptions!S158&gt;0),"🔴 Retard","🟡 Rappel")))</f>
        <v/>
      </c>
      <c r="J164" s="29" t="str">
        <f>IF(Inscriptions!B158="","",IF(Inscriptions!O158="Payé",SUBSTITUTE(SUBSTITUTE(SUBSTITUTE(SUBSTITUTE(C5,"{MONTANT}",TEXT(Inscriptions!N158,"#,##0")&amp;" MRU"),"{PRENOM}",Inscriptions!C158),"{NOM}",Inscriptions!B158),"{PRESTATION}",E164),IF(AND(Inscriptions!S158&lt;&gt;"",Inscriptions!S158&gt;0),SUBSTITUTE(SUBSTITUTE(SUBSTITUTE(SUBSTITUTE(C4,"{MONTANT}",TEXT(Inscriptions!N158,"#,##0")&amp;" MRU"),"{PRENOM}",Inscriptions!C158),"{NOM}",Inscriptions!B158),"{RETARD}",TEXT(Inscriptions!S158,"0")),SUBSTITUTE(SUBSTITUTE(SUBSTITUTE(SUBSTITUTE(SUBSTITUTE(C3,"{MONTANT}",TEXT(Inscriptions!N158,"#,##0")&amp;" MRU"),"{PRENOM}",Inscriptions!C158),"{NOM}",Inscriptions!B158),"{PRESTATION}",E164),"{DATE_LIMITE}",IF(Inscriptions!R158="","non définie",TEXT(Inscriptions!R158,"DD/MM/YYYY"))))))</f>
        <v/>
      </c>
    </row>
    <row r="165" spans="1:10">
      <c r="A165" s="26" t="str">
        <f>IF(Inscriptions!B159="","",Inscriptions!A159)</f>
        <v/>
      </c>
      <c r="B165" s="26" t="str">
        <f>IF(Inscriptions!B159="","",Inscriptions!B159)</f>
        <v/>
      </c>
      <c r="C165" s="26" t="str">
        <f>IF(Inscriptions!B159="","",Inscriptions!C159)</f>
        <v/>
      </c>
      <c r="D165" s="26" t="str">
        <f>IF(Inscriptions!B159="","",Inscriptions!G159)</f>
        <v/>
      </c>
      <c r="E165" s="26" t="str">
        <f>IF(Inscriptions!B159="","",IF(AND(Inscriptions!I159="Oui",Inscriptions!J159="Oui"),"Football + Loisirs",IF(Inscriptions!I159="Oui","Football",IF(Inscriptions!J159="Oui","Centre Loisirs",""))))</f>
        <v/>
      </c>
      <c r="F165" s="26" t="str">
        <f>IF(Inscriptions!B159="","",Inscriptions!N159)</f>
        <v/>
      </c>
      <c r="G165" s="26" t="str">
        <f>IF(Inscriptions!B159="","",Inscriptions!O159)</f>
        <v/>
      </c>
      <c r="H165" s="26" t="str">
        <f>IF(Inscriptions!B159="","",IF(Inscriptions!S159="","—",Inscriptions!S159&amp;" j"))</f>
        <v/>
      </c>
      <c r="I165" s="26" t="str">
        <f>IF(Inscriptions!B159="","",IF(Inscriptions!O159="Payé","✅ Confirmation",IF(AND(Inscriptions!S159&lt;&gt;"",Inscriptions!S159&gt;0),"🔴 Retard","🟡 Rappel")))</f>
        <v/>
      </c>
      <c r="J165" s="27" t="str">
        <f>IF(Inscriptions!B159="","",IF(Inscriptions!O159="Payé",SUBSTITUTE(SUBSTITUTE(SUBSTITUTE(SUBSTITUTE(C5,"{MONTANT}",TEXT(Inscriptions!N159,"#,##0")&amp;" MRU"),"{PRENOM}",Inscriptions!C159),"{NOM}",Inscriptions!B159),"{PRESTATION}",E165),IF(AND(Inscriptions!S159&lt;&gt;"",Inscriptions!S159&gt;0),SUBSTITUTE(SUBSTITUTE(SUBSTITUTE(SUBSTITUTE(C4,"{MONTANT}",TEXT(Inscriptions!N159,"#,##0")&amp;" MRU"),"{PRENOM}",Inscriptions!C159),"{NOM}",Inscriptions!B159),"{RETARD}",TEXT(Inscriptions!S159,"0")),SUBSTITUTE(SUBSTITUTE(SUBSTITUTE(SUBSTITUTE(SUBSTITUTE(C3,"{MONTANT}",TEXT(Inscriptions!N159,"#,##0")&amp;" MRU"),"{PRENOM}",Inscriptions!C159),"{NOM}",Inscriptions!B159),"{PRESTATION}",E165),"{DATE_LIMITE}",IF(Inscriptions!R159="","non définie",TEXT(Inscriptions!R159,"DD/MM/YYYY"))))))</f>
        <v/>
      </c>
    </row>
    <row r="166" spans="1:10">
      <c r="A166" s="28" t="str">
        <f>IF(Inscriptions!B160="","",Inscriptions!A160)</f>
        <v/>
      </c>
      <c r="B166" s="28" t="str">
        <f>IF(Inscriptions!B160="","",Inscriptions!B160)</f>
        <v/>
      </c>
      <c r="C166" s="28" t="str">
        <f>IF(Inscriptions!B160="","",Inscriptions!C160)</f>
        <v/>
      </c>
      <c r="D166" s="28" t="str">
        <f>IF(Inscriptions!B160="","",Inscriptions!G160)</f>
        <v/>
      </c>
      <c r="E166" s="28" t="str">
        <f>IF(Inscriptions!B160="","",IF(AND(Inscriptions!I160="Oui",Inscriptions!J160="Oui"),"Football + Loisirs",IF(Inscriptions!I160="Oui","Football",IF(Inscriptions!J160="Oui","Centre Loisirs",""))))</f>
        <v/>
      </c>
      <c r="F166" s="28" t="str">
        <f>IF(Inscriptions!B160="","",Inscriptions!N160)</f>
        <v/>
      </c>
      <c r="G166" s="28" t="str">
        <f>IF(Inscriptions!B160="","",Inscriptions!O160)</f>
        <v/>
      </c>
      <c r="H166" s="28" t="str">
        <f>IF(Inscriptions!B160="","",IF(Inscriptions!S160="","—",Inscriptions!S160&amp;" j"))</f>
        <v/>
      </c>
      <c r="I166" s="28" t="str">
        <f>IF(Inscriptions!B160="","",IF(Inscriptions!O160="Payé","✅ Confirmation",IF(AND(Inscriptions!S160&lt;&gt;"",Inscriptions!S160&gt;0),"🔴 Retard","🟡 Rappel")))</f>
        <v/>
      </c>
      <c r="J166" s="29" t="str">
        <f>IF(Inscriptions!B160="","",IF(Inscriptions!O160="Payé",SUBSTITUTE(SUBSTITUTE(SUBSTITUTE(SUBSTITUTE(C5,"{MONTANT}",TEXT(Inscriptions!N160,"#,##0")&amp;" MRU"),"{PRENOM}",Inscriptions!C160),"{NOM}",Inscriptions!B160),"{PRESTATION}",E166),IF(AND(Inscriptions!S160&lt;&gt;"",Inscriptions!S160&gt;0),SUBSTITUTE(SUBSTITUTE(SUBSTITUTE(SUBSTITUTE(C4,"{MONTANT}",TEXT(Inscriptions!N160,"#,##0")&amp;" MRU"),"{PRENOM}",Inscriptions!C160),"{NOM}",Inscriptions!B160),"{RETARD}",TEXT(Inscriptions!S160,"0")),SUBSTITUTE(SUBSTITUTE(SUBSTITUTE(SUBSTITUTE(SUBSTITUTE(C3,"{MONTANT}",TEXT(Inscriptions!N160,"#,##0")&amp;" MRU"),"{PRENOM}",Inscriptions!C160),"{NOM}",Inscriptions!B160),"{PRESTATION}",E166),"{DATE_LIMITE}",IF(Inscriptions!R160="","non définie",TEXT(Inscriptions!R160,"DD/MM/YYYY"))))))</f>
        <v/>
      </c>
    </row>
    <row r="167" spans="1:10">
      <c r="A167" s="26" t="str">
        <f>IF(Inscriptions!B161="","",Inscriptions!A161)</f>
        <v/>
      </c>
      <c r="B167" s="26" t="str">
        <f>IF(Inscriptions!B161="","",Inscriptions!B161)</f>
        <v/>
      </c>
      <c r="C167" s="26" t="str">
        <f>IF(Inscriptions!B161="","",Inscriptions!C161)</f>
        <v/>
      </c>
      <c r="D167" s="26" t="str">
        <f>IF(Inscriptions!B161="","",Inscriptions!G161)</f>
        <v/>
      </c>
      <c r="E167" s="26" t="str">
        <f>IF(Inscriptions!B161="","",IF(AND(Inscriptions!I161="Oui",Inscriptions!J161="Oui"),"Football + Loisirs",IF(Inscriptions!I161="Oui","Football",IF(Inscriptions!J161="Oui","Centre Loisirs",""))))</f>
        <v/>
      </c>
      <c r="F167" s="26" t="str">
        <f>IF(Inscriptions!B161="","",Inscriptions!N161)</f>
        <v/>
      </c>
      <c r="G167" s="26" t="str">
        <f>IF(Inscriptions!B161="","",Inscriptions!O161)</f>
        <v/>
      </c>
      <c r="H167" s="26" t="str">
        <f>IF(Inscriptions!B161="","",IF(Inscriptions!S161="","—",Inscriptions!S161&amp;" j"))</f>
        <v/>
      </c>
      <c r="I167" s="26" t="str">
        <f>IF(Inscriptions!B161="","",IF(Inscriptions!O161="Payé","✅ Confirmation",IF(AND(Inscriptions!S161&lt;&gt;"",Inscriptions!S161&gt;0),"🔴 Retard","🟡 Rappel")))</f>
        <v/>
      </c>
      <c r="J167" s="27" t="str">
        <f>IF(Inscriptions!B161="","",IF(Inscriptions!O161="Payé",SUBSTITUTE(SUBSTITUTE(SUBSTITUTE(SUBSTITUTE(C5,"{MONTANT}",TEXT(Inscriptions!N161,"#,##0")&amp;" MRU"),"{PRENOM}",Inscriptions!C161),"{NOM}",Inscriptions!B161),"{PRESTATION}",E167),IF(AND(Inscriptions!S161&lt;&gt;"",Inscriptions!S161&gt;0),SUBSTITUTE(SUBSTITUTE(SUBSTITUTE(SUBSTITUTE(C4,"{MONTANT}",TEXT(Inscriptions!N161,"#,##0")&amp;" MRU"),"{PRENOM}",Inscriptions!C161),"{NOM}",Inscriptions!B161),"{RETARD}",TEXT(Inscriptions!S161,"0")),SUBSTITUTE(SUBSTITUTE(SUBSTITUTE(SUBSTITUTE(SUBSTITUTE(C3,"{MONTANT}",TEXT(Inscriptions!N161,"#,##0")&amp;" MRU"),"{PRENOM}",Inscriptions!C161),"{NOM}",Inscriptions!B161),"{PRESTATION}",E167),"{DATE_LIMITE}",IF(Inscriptions!R161="","non définie",TEXT(Inscriptions!R161,"DD/MM/YYYY"))))))</f>
        <v/>
      </c>
    </row>
    <row r="168" spans="1:10">
      <c r="A168" s="28" t="str">
        <f>IF(Inscriptions!B162="","",Inscriptions!A162)</f>
        <v/>
      </c>
      <c r="B168" s="28" t="str">
        <f>IF(Inscriptions!B162="","",Inscriptions!B162)</f>
        <v/>
      </c>
      <c r="C168" s="28" t="str">
        <f>IF(Inscriptions!B162="","",Inscriptions!C162)</f>
        <v/>
      </c>
      <c r="D168" s="28" t="str">
        <f>IF(Inscriptions!B162="","",Inscriptions!G162)</f>
        <v/>
      </c>
      <c r="E168" s="28" t="str">
        <f>IF(Inscriptions!B162="","",IF(AND(Inscriptions!I162="Oui",Inscriptions!J162="Oui"),"Football + Loisirs",IF(Inscriptions!I162="Oui","Football",IF(Inscriptions!J162="Oui","Centre Loisirs",""))))</f>
        <v/>
      </c>
      <c r="F168" s="28" t="str">
        <f>IF(Inscriptions!B162="","",Inscriptions!N162)</f>
        <v/>
      </c>
      <c r="G168" s="28" t="str">
        <f>IF(Inscriptions!B162="","",Inscriptions!O162)</f>
        <v/>
      </c>
      <c r="H168" s="28" t="str">
        <f>IF(Inscriptions!B162="","",IF(Inscriptions!S162="","—",Inscriptions!S162&amp;" j"))</f>
        <v/>
      </c>
      <c r="I168" s="28" t="str">
        <f>IF(Inscriptions!B162="","",IF(Inscriptions!O162="Payé","✅ Confirmation",IF(AND(Inscriptions!S162&lt;&gt;"",Inscriptions!S162&gt;0),"🔴 Retard","🟡 Rappel")))</f>
        <v/>
      </c>
      <c r="J168" s="29" t="str">
        <f>IF(Inscriptions!B162="","",IF(Inscriptions!O162="Payé",SUBSTITUTE(SUBSTITUTE(SUBSTITUTE(SUBSTITUTE(C5,"{MONTANT}",TEXT(Inscriptions!N162,"#,##0")&amp;" MRU"),"{PRENOM}",Inscriptions!C162),"{NOM}",Inscriptions!B162),"{PRESTATION}",E168),IF(AND(Inscriptions!S162&lt;&gt;"",Inscriptions!S162&gt;0),SUBSTITUTE(SUBSTITUTE(SUBSTITUTE(SUBSTITUTE(C4,"{MONTANT}",TEXT(Inscriptions!N162,"#,##0")&amp;" MRU"),"{PRENOM}",Inscriptions!C162),"{NOM}",Inscriptions!B162),"{RETARD}",TEXT(Inscriptions!S162,"0")),SUBSTITUTE(SUBSTITUTE(SUBSTITUTE(SUBSTITUTE(SUBSTITUTE(C3,"{MONTANT}",TEXT(Inscriptions!N162,"#,##0")&amp;" MRU"),"{PRENOM}",Inscriptions!C162),"{NOM}",Inscriptions!B162),"{PRESTATION}",E168),"{DATE_LIMITE}",IF(Inscriptions!R162="","non définie",TEXT(Inscriptions!R162,"DD/MM/YYYY"))))))</f>
        <v/>
      </c>
    </row>
    <row r="169" spans="1:10">
      <c r="A169" s="26" t="str">
        <f>IF(Inscriptions!B163="","",Inscriptions!A163)</f>
        <v/>
      </c>
      <c r="B169" s="26" t="str">
        <f>IF(Inscriptions!B163="","",Inscriptions!B163)</f>
        <v/>
      </c>
      <c r="C169" s="26" t="str">
        <f>IF(Inscriptions!B163="","",Inscriptions!C163)</f>
        <v/>
      </c>
      <c r="D169" s="26" t="str">
        <f>IF(Inscriptions!B163="","",Inscriptions!G163)</f>
        <v/>
      </c>
      <c r="E169" s="26" t="str">
        <f>IF(Inscriptions!B163="","",IF(AND(Inscriptions!I163="Oui",Inscriptions!J163="Oui"),"Football + Loisirs",IF(Inscriptions!I163="Oui","Football",IF(Inscriptions!J163="Oui","Centre Loisirs",""))))</f>
        <v/>
      </c>
      <c r="F169" s="26" t="str">
        <f>IF(Inscriptions!B163="","",Inscriptions!N163)</f>
        <v/>
      </c>
      <c r="G169" s="26" t="str">
        <f>IF(Inscriptions!B163="","",Inscriptions!O163)</f>
        <v/>
      </c>
      <c r="H169" s="26" t="str">
        <f>IF(Inscriptions!B163="","",IF(Inscriptions!S163="","—",Inscriptions!S163&amp;" j"))</f>
        <v/>
      </c>
      <c r="I169" s="26" t="str">
        <f>IF(Inscriptions!B163="","",IF(Inscriptions!O163="Payé","✅ Confirmation",IF(AND(Inscriptions!S163&lt;&gt;"",Inscriptions!S163&gt;0),"🔴 Retard","🟡 Rappel")))</f>
        <v/>
      </c>
      <c r="J169" s="27" t="str">
        <f>IF(Inscriptions!B163="","",IF(Inscriptions!O163="Payé",SUBSTITUTE(SUBSTITUTE(SUBSTITUTE(SUBSTITUTE(C5,"{MONTANT}",TEXT(Inscriptions!N163,"#,##0")&amp;" MRU"),"{PRENOM}",Inscriptions!C163),"{NOM}",Inscriptions!B163),"{PRESTATION}",E169),IF(AND(Inscriptions!S163&lt;&gt;"",Inscriptions!S163&gt;0),SUBSTITUTE(SUBSTITUTE(SUBSTITUTE(SUBSTITUTE(C4,"{MONTANT}",TEXT(Inscriptions!N163,"#,##0")&amp;" MRU"),"{PRENOM}",Inscriptions!C163),"{NOM}",Inscriptions!B163),"{RETARD}",TEXT(Inscriptions!S163,"0")),SUBSTITUTE(SUBSTITUTE(SUBSTITUTE(SUBSTITUTE(SUBSTITUTE(C3,"{MONTANT}",TEXT(Inscriptions!N163,"#,##0")&amp;" MRU"),"{PRENOM}",Inscriptions!C163),"{NOM}",Inscriptions!B163),"{PRESTATION}",E169),"{DATE_LIMITE}",IF(Inscriptions!R163="","non définie",TEXT(Inscriptions!R163,"DD/MM/YYYY"))))))</f>
        <v/>
      </c>
    </row>
    <row r="170" spans="1:10">
      <c r="A170" s="28" t="str">
        <f>IF(Inscriptions!B164="","",Inscriptions!A164)</f>
        <v/>
      </c>
      <c r="B170" s="28" t="str">
        <f>IF(Inscriptions!B164="","",Inscriptions!B164)</f>
        <v/>
      </c>
      <c r="C170" s="28" t="str">
        <f>IF(Inscriptions!B164="","",Inscriptions!C164)</f>
        <v/>
      </c>
      <c r="D170" s="28" t="str">
        <f>IF(Inscriptions!B164="","",Inscriptions!G164)</f>
        <v/>
      </c>
      <c r="E170" s="28" t="str">
        <f>IF(Inscriptions!B164="","",IF(AND(Inscriptions!I164="Oui",Inscriptions!J164="Oui"),"Football + Loisirs",IF(Inscriptions!I164="Oui","Football",IF(Inscriptions!J164="Oui","Centre Loisirs",""))))</f>
        <v/>
      </c>
      <c r="F170" s="28" t="str">
        <f>IF(Inscriptions!B164="","",Inscriptions!N164)</f>
        <v/>
      </c>
      <c r="G170" s="28" t="str">
        <f>IF(Inscriptions!B164="","",Inscriptions!O164)</f>
        <v/>
      </c>
      <c r="H170" s="28" t="str">
        <f>IF(Inscriptions!B164="","",IF(Inscriptions!S164="","—",Inscriptions!S164&amp;" j"))</f>
        <v/>
      </c>
      <c r="I170" s="28" t="str">
        <f>IF(Inscriptions!B164="","",IF(Inscriptions!O164="Payé","✅ Confirmation",IF(AND(Inscriptions!S164&lt;&gt;"",Inscriptions!S164&gt;0),"🔴 Retard","🟡 Rappel")))</f>
        <v/>
      </c>
      <c r="J170" s="29" t="str">
        <f>IF(Inscriptions!B164="","",IF(Inscriptions!O164="Payé",SUBSTITUTE(SUBSTITUTE(SUBSTITUTE(SUBSTITUTE(C5,"{MONTANT}",TEXT(Inscriptions!N164,"#,##0")&amp;" MRU"),"{PRENOM}",Inscriptions!C164),"{NOM}",Inscriptions!B164),"{PRESTATION}",E170),IF(AND(Inscriptions!S164&lt;&gt;"",Inscriptions!S164&gt;0),SUBSTITUTE(SUBSTITUTE(SUBSTITUTE(SUBSTITUTE(C4,"{MONTANT}",TEXT(Inscriptions!N164,"#,##0")&amp;" MRU"),"{PRENOM}",Inscriptions!C164),"{NOM}",Inscriptions!B164),"{RETARD}",TEXT(Inscriptions!S164,"0")),SUBSTITUTE(SUBSTITUTE(SUBSTITUTE(SUBSTITUTE(SUBSTITUTE(C3,"{MONTANT}",TEXT(Inscriptions!N164,"#,##0")&amp;" MRU"),"{PRENOM}",Inscriptions!C164),"{NOM}",Inscriptions!B164),"{PRESTATION}",E170),"{DATE_LIMITE}",IF(Inscriptions!R164="","non définie",TEXT(Inscriptions!R164,"DD/MM/YYYY"))))))</f>
        <v/>
      </c>
    </row>
    <row r="171" spans="1:10">
      <c r="A171" s="26" t="str">
        <f>IF(Inscriptions!B165="","",Inscriptions!A165)</f>
        <v/>
      </c>
      <c r="B171" s="26" t="str">
        <f>IF(Inscriptions!B165="","",Inscriptions!B165)</f>
        <v/>
      </c>
      <c r="C171" s="26" t="str">
        <f>IF(Inscriptions!B165="","",Inscriptions!C165)</f>
        <v/>
      </c>
      <c r="D171" s="26" t="str">
        <f>IF(Inscriptions!B165="","",Inscriptions!G165)</f>
        <v/>
      </c>
      <c r="E171" s="26" t="str">
        <f>IF(Inscriptions!B165="","",IF(AND(Inscriptions!I165="Oui",Inscriptions!J165="Oui"),"Football + Loisirs",IF(Inscriptions!I165="Oui","Football",IF(Inscriptions!J165="Oui","Centre Loisirs",""))))</f>
        <v/>
      </c>
      <c r="F171" s="26" t="str">
        <f>IF(Inscriptions!B165="","",Inscriptions!N165)</f>
        <v/>
      </c>
      <c r="G171" s="26" t="str">
        <f>IF(Inscriptions!B165="","",Inscriptions!O165)</f>
        <v/>
      </c>
      <c r="H171" s="26" t="str">
        <f>IF(Inscriptions!B165="","",IF(Inscriptions!S165="","—",Inscriptions!S165&amp;" j"))</f>
        <v/>
      </c>
      <c r="I171" s="26" t="str">
        <f>IF(Inscriptions!B165="","",IF(Inscriptions!O165="Payé","✅ Confirmation",IF(AND(Inscriptions!S165&lt;&gt;"",Inscriptions!S165&gt;0),"🔴 Retard","🟡 Rappel")))</f>
        <v/>
      </c>
      <c r="J171" s="27" t="str">
        <f>IF(Inscriptions!B165="","",IF(Inscriptions!O165="Payé",SUBSTITUTE(SUBSTITUTE(SUBSTITUTE(SUBSTITUTE(C5,"{MONTANT}",TEXT(Inscriptions!N165,"#,##0")&amp;" MRU"),"{PRENOM}",Inscriptions!C165),"{NOM}",Inscriptions!B165),"{PRESTATION}",E171),IF(AND(Inscriptions!S165&lt;&gt;"",Inscriptions!S165&gt;0),SUBSTITUTE(SUBSTITUTE(SUBSTITUTE(SUBSTITUTE(C4,"{MONTANT}",TEXT(Inscriptions!N165,"#,##0")&amp;" MRU"),"{PRENOM}",Inscriptions!C165),"{NOM}",Inscriptions!B165),"{RETARD}",TEXT(Inscriptions!S165,"0")),SUBSTITUTE(SUBSTITUTE(SUBSTITUTE(SUBSTITUTE(SUBSTITUTE(C3,"{MONTANT}",TEXT(Inscriptions!N165,"#,##0")&amp;" MRU"),"{PRENOM}",Inscriptions!C165),"{NOM}",Inscriptions!B165),"{PRESTATION}",E171),"{DATE_LIMITE}",IF(Inscriptions!R165="","non définie",TEXT(Inscriptions!R165,"DD/MM/YYYY"))))))</f>
        <v/>
      </c>
    </row>
    <row r="172" spans="1:10">
      <c r="A172" s="28" t="str">
        <f>IF(Inscriptions!B166="","",Inscriptions!A166)</f>
        <v/>
      </c>
      <c r="B172" s="28" t="str">
        <f>IF(Inscriptions!B166="","",Inscriptions!B166)</f>
        <v/>
      </c>
      <c r="C172" s="28" t="str">
        <f>IF(Inscriptions!B166="","",Inscriptions!C166)</f>
        <v/>
      </c>
      <c r="D172" s="28" t="str">
        <f>IF(Inscriptions!B166="","",Inscriptions!G166)</f>
        <v/>
      </c>
      <c r="E172" s="28" t="str">
        <f>IF(Inscriptions!B166="","",IF(AND(Inscriptions!I166="Oui",Inscriptions!J166="Oui"),"Football + Loisirs",IF(Inscriptions!I166="Oui","Football",IF(Inscriptions!J166="Oui","Centre Loisirs",""))))</f>
        <v/>
      </c>
      <c r="F172" s="28" t="str">
        <f>IF(Inscriptions!B166="","",Inscriptions!N166)</f>
        <v/>
      </c>
      <c r="G172" s="28" t="str">
        <f>IF(Inscriptions!B166="","",Inscriptions!O166)</f>
        <v/>
      </c>
      <c r="H172" s="28" t="str">
        <f>IF(Inscriptions!B166="","",IF(Inscriptions!S166="","—",Inscriptions!S166&amp;" j"))</f>
        <v/>
      </c>
      <c r="I172" s="28" t="str">
        <f>IF(Inscriptions!B166="","",IF(Inscriptions!O166="Payé","✅ Confirmation",IF(AND(Inscriptions!S166&lt;&gt;"",Inscriptions!S166&gt;0),"🔴 Retard","🟡 Rappel")))</f>
        <v/>
      </c>
      <c r="J172" s="29" t="str">
        <f>IF(Inscriptions!B166="","",IF(Inscriptions!O166="Payé",SUBSTITUTE(SUBSTITUTE(SUBSTITUTE(SUBSTITUTE(C5,"{MONTANT}",TEXT(Inscriptions!N166,"#,##0")&amp;" MRU"),"{PRENOM}",Inscriptions!C166),"{NOM}",Inscriptions!B166),"{PRESTATION}",E172),IF(AND(Inscriptions!S166&lt;&gt;"",Inscriptions!S166&gt;0),SUBSTITUTE(SUBSTITUTE(SUBSTITUTE(SUBSTITUTE(C4,"{MONTANT}",TEXT(Inscriptions!N166,"#,##0")&amp;" MRU"),"{PRENOM}",Inscriptions!C166),"{NOM}",Inscriptions!B166),"{RETARD}",TEXT(Inscriptions!S166,"0")),SUBSTITUTE(SUBSTITUTE(SUBSTITUTE(SUBSTITUTE(SUBSTITUTE(C3,"{MONTANT}",TEXT(Inscriptions!N166,"#,##0")&amp;" MRU"),"{PRENOM}",Inscriptions!C166),"{NOM}",Inscriptions!B166),"{PRESTATION}",E172),"{DATE_LIMITE}",IF(Inscriptions!R166="","non définie",TEXT(Inscriptions!R166,"DD/MM/YYYY"))))))</f>
        <v/>
      </c>
    </row>
    <row r="173" spans="1:10">
      <c r="A173" s="26" t="str">
        <f>IF(Inscriptions!B167="","",Inscriptions!A167)</f>
        <v/>
      </c>
      <c r="B173" s="26" t="str">
        <f>IF(Inscriptions!B167="","",Inscriptions!B167)</f>
        <v/>
      </c>
      <c r="C173" s="26" t="str">
        <f>IF(Inscriptions!B167="","",Inscriptions!C167)</f>
        <v/>
      </c>
      <c r="D173" s="26" t="str">
        <f>IF(Inscriptions!B167="","",Inscriptions!G167)</f>
        <v/>
      </c>
      <c r="E173" s="26" t="str">
        <f>IF(Inscriptions!B167="","",IF(AND(Inscriptions!I167="Oui",Inscriptions!J167="Oui"),"Football + Loisirs",IF(Inscriptions!I167="Oui","Football",IF(Inscriptions!J167="Oui","Centre Loisirs",""))))</f>
        <v/>
      </c>
      <c r="F173" s="26" t="str">
        <f>IF(Inscriptions!B167="","",Inscriptions!N167)</f>
        <v/>
      </c>
      <c r="G173" s="26" t="str">
        <f>IF(Inscriptions!B167="","",Inscriptions!O167)</f>
        <v/>
      </c>
      <c r="H173" s="26" t="str">
        <f>IF(Inscriptions!B167="","",IF(Inscriptions!S167="","—",Inscriptions!S167&amp;" j"))</f>
        <v/>
      </c>
      <c r="I173" s="26" t="str">
        <f>IF(Inscriptions!B167="","",IF(Inscriptions!O167="Payé","✅ Confirmation",IF(AND(Inscriptions!S167&lt;&gt;"",Inscriptions!S167&gt;0),"🔴 Retard","🟡 Rappel")))</f>
        <v/>
      </c>
      <c r="J173" s="27" t="str">
        <f>IF(Inscriptions!B167="","",IF(Inscriptions!O167="Payé",SUBSTITUTE(SUBSTITUTE(SUBSTITUTE(SUBSTITUTE(C5,"{MONTANT}",TEXT(Inscriptions!N167,"#,##0")&amp;" MRU"),"{PRENOM}",Inscriptions!C167),"{NOM}",Inscriptions!B167),"{PRESTATION}",E173),IF(AND(Inscriptions!S167&lt;&gt;"",Inscriptions!S167&gt;0),SUBSTITUTE(SUBSTITUTE(SUBSTITUTE(SUBSTITUTE(C4,"{MONTANT}",TEXT(Inscriptions!N167,"#,##0")&amp;" MRU"),"{PRENOM}",Inscriptions!C167),"{NOM}",Inscriptions!B167),"{RETARD}",TEXT(Inscriptions!S167,"0")),SUBSTITUTE(SUBSTITUTE(SUBSTITUTE(SUBSTITUTE(SUBSTITUTE(C3,"{MONTANT}",TEXT(Inscriptions!N167,"#,##0")&amp;" MRU"),"{PRENOM}",Inscriptions!C167),"{NOM}",Inscriptions!B167),"{PRESTATION}",E173),"{DATE_LIMITE}",IF(Inscriptions!R167="","non définie",TEXT(Inscriptions!R167,"DD/MM/YYYY"))))))</f>
        <v/>
      </c>
    </row>
    <row r="174" spans="1:10">
      <c r="A174" s="28" t="str">
        <f>IF(Inscriptions!B168="","",Inscriptions!A168)</f>
        <v/>
      </c>
      <c r="B174" s="28" t="str">
        <f>IF(Inscriptions!B168="","",Inscriptions!B168)</f>
        <v/>
      </c>
      <c r="C174" s="28" t="str">
        <f>IF(Inscriptions!B168="","",Inscriptions!C168)</f>
        <v/>
      </c>
      <c r="D174" s="28" t="str">
        <f>IF(Inscriptions!B168="","",Inscriptions!G168)</f>
        <v/>
      </c>
      <c r="E174" s="28" t="str">
        <f>IF(Inscriptions!B168="","",IF(AND(Inscriptions!I168="Oui",Inscriptions!J168="Oui"),"Football + Loisirs",IF(Inscriptions!I168="Oui","Football",IF(Inscriptions!J168="Oui","Centre Loisirs",""))))</f>
        <v/>
      </c>
      <c r="F174" s="28" t="str">
        <f>IF(Inscriptions!B168="","",Inscriptions!N168)</f>
        <v/>
      </c>
      <c r="G174" s="28" t="str">
        <f>IF(Inscriptions!B168="","",Inscriptions!O168)</f>
        <v/>
      </c>
      <c r="H174" s="28" t="str">
        <f>IF(Inscriptions!B168="","",IF(Inscriptions!S168="","—",Inscriptions!S168&amp;" j"))</f>
        <v/>
      </c>
      <c r="I174" s="28" t="str">
        <f>IF(Inscriptions!B168="","",IF(Inscriptions!O168="Payé","✅ Confirmation",IF(AND(Inscriptions!S168&lt;&gt;"",Inscriptions!S168&gt;0),"🔴 Retard","🟡 Rappel")))</f>
        <v/>
      </c>
      <c r="J174" s="29" t="str">
        <f>IF(Inscriptions!B168="","",IF(Inscriptions!O168="Payé",SUBSTITUTE(SUBSTITUTE(SUBSTITUTE(SUBSTITUTE(C5,"{MONTANT}",TEXT(Inscriptions!N168,"#,##0")&amp;" MRU"),"{PRENOM}",Inscriptions!C168),"{NOM}",Inscriptions!B168),"{PRESTATION}",E174),IF(AND(Inscriptions!S168&lt;&gt;"",Inscriptions!S168&gt;0),SUBSTITUTE(SUBSTITUTE(SUBSTITUTE(SUBSTITUTE(C4,"{MONTANT}",TEXT(Inscriptions!N168,"#,##0")&amp;" MRU"),"{PRENOM}",Inscriptions!C168),"{NOM}",Inscriptions!B168),"{RETARD}",TEXT(Inscriptions!S168,"0")),SUBSTITUTE(SUBSTITUTE(SUBSTITUTE(SUBSTITUTE(SUBSTITUTE(C3,"{MONTANT}",TEXT(Inscriptions!N168,"#,##0")&amp;" MRU"),"{PRENOM}",Inscriptions!C168),"{NOM}",Inscriptions!B168),"{PRESTATION}",E174),"{DATE_LIMITE}",IF(Inscriptions!R168="","non définie",TEXT(Inscriptions!R168,"DD/MM/YYYY"))))))</f>
        <v/>
      </c>
    </row>
    <row r="175" spans="1:10">
      <c r="A175" s="26" t="str">
        <f>IF(Inscriptions!B169="","",Inscriptions!A169)</f>
        <v/>
      </c>
      <c r="B175" s="26" t="str">
        <f>IF(Inscriptions!B169="","",Inscriptions!B169)</f>
        <v/>
      </c>
      <c r="C175" s="26" t="str">
        <f>IF(Inscriptions!B169="","",Inscriptions!C169)</f>
        <v/>
      </c>
      <c r="D175" s="26" t="str">
        <f>IF(Inscriptions!B169="","",Inscriptions!G169)</f>
        <v/>
      </c>
      <c r="E175" s="26" t="str">
        <f>IF(Inscriptions!B169="","",IF(AND(Inscriptions!I169="Oui",Inscriptions!J169="Oui"),"Football + Loisirs",IF(Inscriptions!I169="Oui","Football",IF(Inscriptions!J169="Oui","Centre Loisirs",""))))</f>
        <v/>
      </c>
      <c r="F175" s="26" t="str">
        <f>IF(Inscriptions!B169="","",Inscriptions!N169)</f>
        <v/>
      </c>
      <c r="G175" s="26" t="str">
        <f>IF(Inscriptions!B169="","",Inscriptions!O169)</f>
        <v/>
      </c>
      <c r="H175" s="26" t="str">
        <f>IF(Inscriptions!B169="","",IF(Inscriptions!S169="","—",Inscriptions!S169&amp;" j"))</f>
        <v/>
      </c>
      <c r="I175" s="26" t="str">
        <f>IF(Inscriptions!B169="","",IF(Inscriptions!O169="Payé","✅ Confirmation",IF(AND(Inscriptions!S169&lt;&gt;"",Inscriptions!S169&gt;0),"🔴 Retard","🟡 Rappel")))</f>
        <v/>
      </c>
      <c r="J175" s="27" t="str">
        <f>IF(Inscriptions!B169="","",IF(Inscriptions!O169="Payé",SUBSTITUTE(SUBSTITUTE(SUBSTITUTE(SUBSTITUTE(C5,"{MONTANT}",TEXT(Inscriptions!N169,"#,##0")&amp;" MRU"),"{PRENOM}",Inscriptions!C169),"{NOM}",Inscriptions!B169),"{PRESTATION}",E175),IF(AND(Inscriptions!S169&lt;&gt;"",Inscriptions!S169&gt;0),SUBSTITUTE(SUBSTITUTE(SUBSTITUTE(SUBSTITUTE(C4,"{MONTANT}",TEXT(Inscriptions!N169,"#,##0")&amp;" MRU"),"{PRENOM}",Inscriptions!C169),"{NOM}",Inscriptions!B169),"{RETARD}",TEXT(Inscriptions!S169,"0")),SUBSTITUTE(SUBSTITUTE(SUBSTITUTE(SUBSTITUTE(SUBSTITUTE(C3,"{MONTANT}",TEXT(Inscriptions!N169,"#,##0")&amp;" MRU"),"{PRENOM}",Inscriptions!C169),"{NOM}",Inscriptions!B169),"{PRESTATION}",E175),"{DATE_LIMITE}",IF(Inscriptions!R169="","non définie",TEXT(Inscriptions!R169,"DD/MM/YYYY"))))))</f>
        <v/>
      </c>
    </row>
    <row r="176" spans="1:10">
      <c r="A176" s="28" t="str">
        <f>IF(Inscriptions!B170="","",Inscriptions!A170)</f>
        <v/>
      </c>
      <c r="B176" s="28" t="str">
        <f>IF(Inscriptions!B170="","",Inscriptions!B170)</f>
        <v/>
      </c>
      <c r="C176" s="28" t="str">
        <f>IF(Inscriptions!B170="","",Inscriptions!C170)</f>
        <v/>
      </c>
      <c r="D176" s="28" t="str">
        <f>IF(Inscriptions!B170="","",Inscriptions!G170)</f>
        <v/>
      </c>
      <c r="E176" s="28" t="str">
        <f>IF(Inscriptions!B170="","",IF(AND(Inscriptions!I170="Oui",Inscriptions!J170="Oui"),"Football + Loisirs",IF(Inscriptions!I170="Oui","Football",IF(Inscriptions!J170="Oui","Centre Loisirs",""))))</f>
        <v/>
      </c>
      <c r="F176" s="28" t="str">
        <f>IF(Inscriptions!B170="","",Inscriptions!N170)</f>
        <v/>
      </c>
      <c r="G176" s="28" t="str">
        <f>IF(Inscriptions!B170="","",Inscriptions!O170)</f>
        <v/>
      </c>
      <c r="H176" s="28" t="str">
        <f>IF(Inscriptions!B170="","",IF(Inscriptions!S170="","—",Inscriptions!S170&amp;" j"))</f>
        <v/>
      </c>
      <c r="I176" s="28" t="str">
        <f>IF(Inscriptions!B170="","",IF(Inscriptions!O170="Payé","✅ Confirmation",IF(AND(Inscriptions!S170&lt;&gt;"",Inscriptions!S170&gt;0),"🔴 Retard","🟡 Rappel")))</f>
        <v/>
      </c>
      <c r="J176" s="29" t="str">
        <f>IF(Inscriptions!B170="","",IF(Inscriptions!O170="Payé",SUBSTITUTE(SUBSTITUTE(SUBSTITUTE(SUBSTITUTE(C5,"{MONTANT}",TEXT(Inscriptions!N170,"#,##0")&amp;" MRU"),"{PRENOM}",Inscriptions!C170),"{NOM}",Inscriptions!B170),"{PRESTATION}",E176),IF(AND(Inscriptions!S170&lt;&gt;"",Inscriptions!S170&gt;0),SUBSTITUTE(SUBSTITUTE(SUBSTITUTE(SUBSTITUTE(C4,"{MONTANT}",TEXT(Inscriptions!N170,"#,##0")&amp;" MRU"),"{PRENOM}",Inscriptions!C170),"{NOM}",Inscriptions!B170),"{RETARD}",TEXT(Inscriptions!S170,"0")),SUBSTITUTE(SUBSTITUTE(SUBSTITUTE(SUBSTITUTE(SUBSTITUTE(C3,"{MONTANT}",TEXT(Inscriptions!N170,"#,##0")&amp;" MRU"),"{PRENOM}",Inscriptions!C170),"{NOM}",Inscriptions!B170),"{PRESTATION}",E176),"{DATE_LIMITE}",IF(Inscriptions!R170="","non définie",TEXT(Inscriptions!R170,"DD/MM/YYYY"))))))</f>
        <v/>
      </c>
    </row>
    <row r="177" spans="1:10">
      <c r="A177" s="26" t="str">
        <f>IF(Inscriptions!B171="","",Inscriptions!A171)</f>
        <v/>
      </c>
      <c r="B177" s="26" t="str">
        <f>IF(Inscriptions!B171="","",Inscriptions!B171)</f>
        <v/>
      </c>
      <c r="C177" s="26" t="str">
        <f>IF(Inscriptions!B171="","",Inscriptions!C171)</f>
        <v/>
      </c>
      <c r="D177" s="26" t="str">
        <f>IF(Inscriptions!B171="","",Inscriptions!G171)</f>
        <v/>
      </c>
      <c r="E177" s="26" t="str">
        <f>IF(Inscriptions!B171="","",IF(AND(Inscriptions!I171="Oui",Inscriptions!J171="Oui"),"Football + Loisirs",IF(Inscriptions!I171="Oui","Football",IF(Inscriptions!J171="Oui","Centre Loisirs",""))))</f>
        <v/>
      </c>
      <c r="F177" s="26" t="str">
        <f>IF(Inscriptions!B171="","",Inscriptions!N171)</f>
        <v/>
      </c>
      <c r="G177" s="26" t="str">
        <f>IF(Inscriptions!B171="","",Inscriptions!O171)</f>
        <v/>
      </c>
      <c r="H177" s="26" t="str">
        <f>IF(Inscriptions!B171="","",IF(Inscriptions!S171="","—",Inscriptions!S171&amp;" j"))</f>
        <v/>
      </c>
      <c r="I177" s="26" t="str">
        <f>IF(Inscriptions!B171="","",IF(Inscriptions!O171="Payé","✅ Confirmation",IF(AND(Inscriptions!S171&lt;&gt;"",Inscriptions!S171&gt;0),"🔴 Retard","🟡 Rappel")))</f>
        <v/>
      </c>
      <c r="J177" s="27" t="str">
        <f>IF(Inscriptions!B171="","",IF(Inscriptions!O171="Payé",SUBSTITUTE(SUBSTITUTE(SUBSTITUTE(SUBSTITUTE(C5,"{MONTANT}",TEXT(Inscriptions!N171,"#,##0")&amp;" MRU"),"{PRENOM}",Inscriptions!C171),"{NOM}",Inscriptions!B171),"{PRESTATION}",E177),IF(AND(Inscriptions!S171&lt;&gt;"",Inscriptions!S171&gt;0),SUBSTITUTE(SUBSTITUTE(SUBSTITUTE(SUBSTITUTE(C4,"{MONTANT}",TEXT(Inscriptions!N171,"#,##0")&amp;" MRU"),"{PRENOM}",Inscriptions!C171),"{NOM}",Inscriptions!B171),"{RETARD}",TEXT(Inscriptions!S171,"0")),SUBSTITUTE(SUBSTITUTE(SUBSTITUTE(SUBSTITUTE(SUBSTITUTE(C3,"{MONTANT}",TEXT(Inscriptions!N171,"#,##0")&amp;" MRU"),"{PRENOM}",Inscriptions!C171),"{NOM}",Inscriptions!B171),"{PRESTATION}",E177),"{DATE_LIMITE}",IF(Inscriptions!R171="","non définie",TEXT(Inscriptions!R171,"DD/MM/YYYY"))))))</f>
        <v/>
      </c>
    </row>
    <row r="178" spans="1:10">
      <c r="A178" s="28" t="str">
        <f>IF(Inscriptions!B172="","",Inscriptions!A172)</f>
        <v/>
      </c>
      <c r="B178" s="28" t="str">
        <f>IF(Inscriptions!B172="","",Inscriptions!B172)</f>
        <v/>
      </c>
      <c r="C178" s="28" t="str">
        <f>IF(Inscriptions!B172="","",Inscriptions!C172)</f>
        <v/>
      </c>
      <c r="D178" s="28" t="str">
        <f>IF(Inscriptions!B172="","",Inscriptions!G172)</f>
        <v/>
      </c>
      <c r="E178" s="28" t="str">
        <f>IF(Inscriptions!B172="","",IF(AND(Inscriptions!I172="Oui",Inscriptions!J172="Oui"),"Football + Loisirs",IF(Inscriptions!I172="Oui","Football",IF(Inscriptions!J172="Oui","Centre Loisirs",""))))</f>
        <v/>
      </c>
      <c r="F178" s="28" t="str">
        <f>IF(Inscriptions!B172="","",Inscriptions!N172)</f>
        <v/>
      </c>
      <c r="G178" s="28" t="str">
        <f>IF(Inscriptions!B172="","",Inscriptions!O172)</f>
        <v/>
      </c>
      <c r="H178" s="28" t="str">
        <f>IF(Inscriptions!B172="","",IF(Inscriptions!S172="","—",Inscriptions!S172&amp;" j"))</f>
        <v/>
      </c>
      <c r="I178" s="28" t="str">
        <f>IF(Inscriptions!B172="","",IF(Inscriptions!O172="Payé","✅ Confirmation",IF(AND(Inscriptions!S172&lt;&gt;"",Inscriptions!S172&gt;0),"🔴 Retard","🟡 Rappel")))</f>
        <v/>
      </c>
      <c r="J178" s="29" t="str">
        <f>IF(Inscriptions!B172="","",IF(Inscriptions!O172="Payé",SUBSTITUTE(SUBSTITUTE(SUBSTITUTE(SUBSTITUTE(C5,"{MONTANT}",TEXT(Inscriptions!N172,"#,##0")&amp;" MRU"),"{PRENOM}",Inscriptions!C172),"{NOM}",Inscriptions!B172),"{PRESTATION}",E178),IF(AND(Inscriptions!S172&lt;&gt;"",Inscriptions!S172&gt;0),SUBSTITUTE(SUBSTITUTE(SUBSTITUTE(SUBSTITUTE(C4,"{MONTANT}",TEXT(Inscriptions!N172,"#,##0")&amp;" MRU"),"{PRENOM}",Inscriptions!C172),"{NOM}",Inscriptions!B172),"{RETARD}",TEXT(Inscriptions!S172,"0")),SUBSTITUTE(SUBSTITUTE(SUBSTITUTE(SUBSTITUTE(SUBSTITUTE(C3,"{MONTANT}",TEXT(Inscriptions!N172,"#,##0")&amp;" MRU"),"{PRENOM}",Inscriptions!C172),"{NOM}",Inscriptions!B172),"{PRESTATION}",E178),"{DATE_LIMITE}",IF(Inscriptions!R172="","non définie",TEXT(Inscriptions!R172,"DD/MM/YYYY"))))))</f>
        <v/>
      </c>
    </row>
    <row r="179" spans="1:10">
      <c r="A179" s="26" t="str">
        <f>IF(Inscriptions!B173="","",Inscriptions!A173)</f>
        <v/>
      </c>
      <c r="B179" s="26" t="str">
        <f>IF(Inscriptions!B173="","",Inscriptions!B173)</f>
        <v/>
      </c>
      <c r="C179" s="26" t="str">
        <f>IF(Inscriptions!B173="","",Inscriptions!C173)</f>
        <v/>
      </c>
      <c r="D179" s="26" t="str">
        <f>IF(Inscriptions!B173="","",Inscriptions!G173)</f>
        <v/>
      </c>
      <c r="E179" s="26" t="str">
        <f>IF(Inscriptions!B173="","",IF(AND(Inscriptions!I173="Oui",Inscriptions!J173="Oui"),"Football + Loisirs",IF(Inscriptions!I173="Oui","Football",IF(Inscriptions!J173="Oui","Centre Loisirs",""))))</f>
        <v/>
      </c>
      <c r="F179" s="26" t="str">
        <f>IF(Inscriptions!B173="","",Inscriptions!N173)</f>
        <v/>
      </c>
      <c r="G179" s="26" t="str">
        <f>IF(Inscriptions!B173="","",Inscriptions!O173)</f>
        <v/>
      </c>
      <c r="H179" s="26" t="str">
        <f>IF(Inscriptions!B173="","",IF(Inscriptions!S173="","—",Inscriptions!S173&amp;" j"))</f>
        <v/>
      </c>
      <c r="I179" s="26" t="str">
        <f>IF(Inscriptions!B173="","",IF(Inscriptions!O173="Payé","✅ Confirmation",IF(AND(Inscriptions!S173&lt;&gt;"",Inscriptions!S173&gt;0),"🔴 Retard","🟡 Rappel")))</f>
        <v/>
      </c>
      <c r="J179" s="27" t="str">
        <f>IF(Inscriptions!B173="","",IF(Inscriptions!O173="Payé",SUBSTITUTE(SUBSTITUTE(SUBSTITUTE(SUBSTITUTE(C5,"{MONTANT}",TEXT(Inscriptions!N173,"#,##0")&amp;" MRU"),"{PRENOM}",Inscriptions!C173),"{NOM}",Inscriptions!B173),"{PRESTATION}",E179),IF(AND(Inscriptions!S173&lt;&gt;"",Inscriptions!S173&gt;0),SUBSTITUTE(SUBSTITUTE(SUBSTITUTE(SUBSTITUTE(C4,"{MONTANT}",TEXT(Inscriptions!N173,"#,##0")&amp;" MRU"),"{PRENOM}",Inscriptions!C173),"{NOM}",Inscriptions!B173),"{RETARD}",TEXT(Inscriptions!S173,"0")),SUBSTITUTE(SUBSTITUTE(SUBSTITUTE(SUBSTITUTE(SUBSTITUTE(C3,"{MONTANT}",TEXT(Inscriptions!N173,"#,##0")&amp;" MRU"),"{PRENOM}",Inscriptions!C173),"{NOM}",Inscriptions!B173),"{PRESTATION}",E179),"{DATE_LIMITE}",IF(Inscriptions!R173="","non définie",TEXT(Inscriptions!R173,"DD/MM/YYYY"))))))</f>
        <v/>
      </c>
    </row>
    <row r="180" spans="1:10">
      <c r="A180" s="28" t="str">
        <f>IF(Inscriptions!B174="","",Inscriptions!A174)</f>
        <v/>
      </c>
      <c r="B180" s="28" t="str">
        <f>IF(Inscriptions!B174="","",Inscriptions!B174)</f>
        <v/>
      </c>
      <c r="C180" s="28" t="str">
        <f>IF(Inscriptions!B174="","",Inscriptions!C174)</f>
        <v/>
      </c>
      <c r="D180" s="28" t="str">
        <f>IF(Inscriptions!B174="","",Inscriptions!G174)</f>
        <v/>
      </c>
      <c r="E180" s="28" t="str">
        <f>IF(Inscriptions!B174="","",IF(AND(Inscriptions!I174="Oui",Inscriptions!J174="Oui"),"Football + Loisirs",IF(Inscriptions!I174="Oui","Football",IF(Inscriptions!J174="Oui","Centre Loisirs",""))))</f>
        <v/>
      </c>
      <c r="F180" s="28" t="str">
        <f>IF(Inscriptions!B174="","",Inscriptions!N174)</f>
        <v/>
      </c>
      <c r="G180" s="28" t="str">
        <f>IF(Inscriptions!B174="","",Inscriptions!O174)</f>
        <v/>
      </c>
      <c r="H180" s="28" t="str">
        <f>IF(Inscriptions!B174="","",IF(Inscriptions!S174="","—",Inscriptions!S174&amp;" j"))</f>
        <v/>
      </c>
      <c r="I180" s="28" t="str">
        <f>IF(Inscriptions!B174="","",IF(Inscriptions!O174="Payé","✅ Confirmation",IF(AND(Inscriptions!S174&lt;&gt;"",Inscriptions!S174&gt;0),"🔴 Retard","🟡 Rappel")))</f>
        <v/>
      </c>
      <c r="J180" s="29" t="str">
        <f>IF(Inscriptions!B174="","",IF(Inscriptions!O174="Payé",SUBSTITUTE(SUBSTITUTE(SUBSTITUTE(SUBSTITUTE(C5,"{MONTANT}",TEXT(Inscriptions!N174,"#,##0")&amp;" MRU"),"{PRENOM}",Inscriptions!C174),"{NOM}",Inscriptions!B174),"{PRESTATION}",E180),IF(AND(Inscriptions!S174&lt;&gt;"",Inscriptions!S174&gt;0),SUBSTITUTE(SUBSTITUTE(SUBSTITUTE(SUBSTITUTE(C4,"{MONTANT}",TEXT(Inscriptions!N174,"#,##0")&amp;" MRU"),"{PRENOM}",Inscriptions!C174),"{NOM}",Inscriptions!B174),"{RETARD}",TEXT(Inscriptions!S174,"0")),SUBSTITUTE(SUBSTITUTE(SUBSTITUTE(SUBSTITUTE(SUBSTITUTE(C3,"{MONTANT}",TEXT(Inscriptions!N174,"#,##0")&amp;" MRU"),"{PRENOM}",Inscriptions!C174),"{NOM}",Inscriptions!B174),"{PRESTATION}",E180),"{DATE_LIMITE}",IF(Inscriptions!R174="","non définie",TEXT(Inscriptions!R174,"DD/MM/YYYY"))))))</f>
        <v/>
      </c>
    </row>
    <row r="181" spans="1:10">
      <c r="A181" s="26" t="str">
        <f>IF(Inscriptions!B175="","",Inscriptions!A175)</f>
        <v/>
      </c>
      <c r="B181" s="26" t="str">
        <f>IF(Inscriptions!B175="","",Inscriptions!B175)</f>
        <v/>
      </c>
      <c r="C181" s="26" t="str">
        <f>IF(Inscriptions!B175="","",Inscriptions!C175)</f>
        <v/>
      </c>
      <c r="D181" s="26" t="str">
        <f>IF(Inscriptions!B175="","",Inscriptions!G175)</f>
        <v/>
      </c>
      <c r="E181" s="26" t="str">
        <f>IF(Inscriptions!B175="","",IF(AND(Inscriptions!I175="Oui",Inscriptions!J175="Oui"),"Football + Loisirs",IF(Inscriptions!I175="Oui","Football",IF(Inscriptions!J175="Oui","Centre Loisirs",""))))</f>
        <v/>
      </c>
      <c r="F181" s="26" t="str">
        <f>IF(Inscriptions!B175="","",Inscriptions!N175)</f>
        <v/>
      </c>
      <c r="G181" s="26" t="str">
        <f>IF(Inscriptions!B175="","",Inscriptions!O175)</f>
        <v/>
      </c>
      <c r="H181" s="26" t="str">
        <f>IF(Inscriptions!B175="","",IF(Inscriptions!S175="","—",Inscriptions!S175&amp;" j"))</f>
        <v/>
      </c>
      <c r="I181" s="26" t="str">
        <f>IF(Inscriptions!B175="","",IF(Inscriptions!O175="Payé","✅ Confirmation",IF(AND(Inscriptions!S175&lt;&gt;"",Inscriptions!S175&gt;0),"🔴 Retard","🟡 Rappel")))</f>
        <v/>
      </c>
      <c r="J181" s="27" t="str">
        <f>IF(Inscriptions!B175="","",IF(Inscriptions!O175="Payé",SUBSTITUTE(SUBSTITUTE(SUBSTITUTE(SUBSTITUTE(C5,"{MONTANT}",TEXT(Inscriptions!N175,"#,##0")&amp;" MRU"),"{PRENOM}",Inscriptions!C175),"{NOM}",Inscriptions!B175),"{PRESTATION}",E181),IF(AND(Inscriptions!S175&lt;&gt;"",Inscriptions!S175&gt;0),SUBSTITUTE(SUBSTITUTE(SUBSTITUTE(SUBSTITUTE(C4,"{MONTANT}",TEXT(Inscriptions!N175,"#,##0")&amp;" MRU"),"{PRENOM}",Inscriptions!C175),"{NOM}",Inscriptions!B175),"{RETARD}",TEXT(Inscriptions!S175,"0")),SUBSTITUTE(SUBSTITUTE(SUBSTITUTE(SUBSTITUTE(SUBSTITUTE(C3,"{MONTANT}",TEXT(Inscriptions!N175,"#,##0")&amp;" MRU"),"{PRENOM}",Inscriptions!C175),"{NOM}",Inscriptions!B175),"{PRESTATION}",E181),"{DATE_LIMITE}",IF(Inscriptions!R175="","non définie",TEXT(Inscriptions!R175,"DD/MM/YYYY"))))))</f>
        <v/>
      </c>
    </row>
    <row r="182" spans="1:10">
      <c r="A182" s="28" t="str">
        <f>IF(Inscriptions!B176="","",Inscriptions!A176)</f>
        <v/>
      </c>
      <c r="B182" s="28" t="str">
        <f>IF(Inscriptions!B176="","",Inscriptions!B176)</f>
        <v/>
      </c>
      <c r="C182" s="28" t="str">
        <f>IF(Inscriptions!B176="","",Inscriptions!C176)</f>
        <v/>
      </c>
      <c r="D182" s="28" t="str">
        <f>IF(Inscriptions!B176="","",Inscriptions!G176)</f>
        <v/>
      </c>
      <c r="E182" s="28" t="str">
        <f>IF(Inscriptions!B176="","",IF(AND(Inscriptions!I176="Oui",Inscriptions!J176="Oui"),"Football + Loisirs",IF(Inscriptions!I176="Oui","Football",IF(Inscriptions!J176="Oui","Centre Loisirs",""))))</f>
        <v/>
      </c>
      <c r="F182" s="28" t="str">
        <f>IF(Inscriptions!B176="","",Inscriptions!N176)</f>
        <v/>
      </c>
      <c r="G182" s="28" t="str">
        <f>IF(Inscriptions!B176="","",Inscriptions!O176)</f>
        <v/>
      </c>
      <c r="H182" s="28" t="str">
        <f>IF(Inscriptions!B176="","",IF(Inscriptions!S176="","—",Inscriptions!S176&amp;" j"))</f>
        <v/>
      </c>
      <c r="I182" s="28" t="str">
        <f>IF(Inscriptions!B176="","",IF(Inscriptions!O176="Payé","✅ Confirmation",IF(AND(Inscriptions!S176&lt;&gt;"",Inscriptions!S176&gt;0),"🔴 Retard","🟡 Rappel")))</f>
        <v/>
      </c>
      <c r="J182" s="29" t="str">
        <f>IF(Inscriptions!B176="","",IF(Inscriptions!O176="Payé",SUBSTITUTE(SUBSTITUTE(SUBSTITUTE(SUBSTITUTE(C5,"{MONTANT}",TEXT(Inscriptions!N176,"#,##0")&amp;" MRU"),"{PRENOM}",Inscriptions!C176),"{NOM}",Inscriptions!B176),"{PRESTATION}",E182),IF(AND(Inscriptions!S176&lt;&gt;"",Inscriptions!S176&gt;0),SUBSTITUTE(SUBSTITUTE(SUBSTITUTE(SUBSTITUTE(C4,"{MONTANT}",TEXT(Inscriptions!N176,"#,##0")&amp;" MRU"),"{PRENOM}",Inscriptions!C176),"{NOM}",Inscriptions!B176),"{RETARD}",TEXT(Inscriptions!S176,"0")),SUBSTITUTE(SUBSTITUTE(SUBSTITUTE(SUBSTITUTE(SUBSTITUTE(C3,"{MONTANT}",TEXT(Inscriptions!N176,"#,##0")&amp;" MRU"),"{PRENOM}",Inscriptions!C176),"{NOM}",Inscriptions!B176),"{PRESTATION}",E182),"{DATE_LIMITE}",IF(Inscriptions!R176="","non définie",TEXT(Inscriptions!R176,"DD/MM/YYYY"))))))</f>
        <v/>
      </c>
    </row>
    <row r="183" spans="1:10">
      <c r="A183" s="26" t="str">
        <f>IF(Inscriptions!B177="","",Inscriptions!A177)</f>
        <v/>
      </c>
      <c r="B183" s="26" t="str">
        <f>IF(Inscriptions!B177="","",Inscriptions!B177)</f>
        <v/>
      </c>
      <c r="C183" s="26" t="str">
        <f>IF(Inscriptions!B177="","",Inscriptions!C177)</f>
        <v/>
      </c>
      <c r="D183" s="26" t="str">
        <f>IF(Inscriptions!B177="","",Inscriptions!G177)</f>
        <v/>
      </c>
      <c r="E183" s="26" t="str">
        <f>IF(Inscriptions!B177="","",IF(AND(Inscriptions!I177="Oui",Inscriptions!J177="Oui"),"Football + Loisirs",IF(Inscriptions!I177="Oui","Football",IF(Inscriptions!J177="Oui","Centre Loisirs",""))))</f>
        <v/>
      </c>
      <c r="F183" s="26" t="str">
        <f>IF(Inscriptions!B177="","",Inscriptions!N177)</f>
        <v/>
      </c>
      <c r="G183" s="26" t="str">
        <f>IF(Inscriptions!B177="","",Inscriptions!O177)</f>
        <v/>
      </c>
      <c r="H183" s="26" t="str">
        <f>IF(Inscriptions!B177="","",IF(Inscriptions!S177="","—",Inscriptions!S177&amp;" j"))</f>
        <v/>
      </c>
      <c r="I183" s="26" t="str">
        <f>IF(Inscriptions!B177="","",IF(Inscriptions!O177="Payé","✅ Confirmation",IF(AND(Inscriptions!S177&lt;&gt;"",Inscriptions!S177&gt;0),"🔴 Retard","🟡 Rappel")))</f>
        <v/>
      </c>
      <c r="J183" s="27" t="str">
        <f>IF(Inscriptions!B177="","",IF(Inscriptions!O177="Payé",SUBSTITUTE(SUBSTITUTE(SUBSTITUTE(SUBSTITUTE(C5,"{MONTANT}",TEXT(Inscriptions!N177,"#,##0")&amp;" MRU"),"{PRENOM}",Inscriptions!C177),"{NOM}",Inscriptions!B177),"{PRESTATION}",E183),IF(AND(Inscriptions!S177&lt;&gt;"",Inscriptions!S177&gt;0),SUBSTITUTE(SUBSTITUTE(SUBSTITUTE(SUBSTITUTE(C4,"{MONTANT}",TEXT(Inscriptions!N177,"#,##0")&amp;" MRU"),"{PRENOM}",Inscriptions!C177),"{NOM}",Inscriptions!B177),"{RETARD}",TEXT(Inscriptions!S177,"0")),SUBSTITUTE(SUBSTITUTE(SUBSTITUTE(SUBSTITUTE(SUBSTITUTE(C3,"{MONTANT}",TEXT(Inscriptions!N177,"#,##0")&amp;" MRU"),"{PRENOM}",Inscriptions!C177),"{NOM}",Inscriptions!B177),"{PRESTATION}",E183),"{DATE_LIMITE}",IF(Inscriptions!R177="","non définie",TEXT(Inscriptions!R177,"DD/MM/YYYY"))))))</f>
        <v/>
      </c>
    </row>
    <row r="184" spans="1:10">
      <c r="A184" s="28" t="str">
        <f>IF(Inscriptions!B178="","",Inscriptions!A178)</f>
        <v/>
      </c>
      <c r="B184" s="28" t="str">
        <f>IF(Inscriptions!B178="","",Inscriptions!B178)</f>
        <v/>
      </c>
      <c r="C184" s="28" t="str">
        <f>IF(Inscriptions!B178="","",Inscriptions!C178)</f>
        <v/>
      </c>
      <c r="D184" s="28" t="str">
        <f>IF(Inscriptions!B178="","",Inscriptions!G178)</f>
        <v/>
      </c>
      <c r="E184" s="28" t="str">
        <f>IF(Inscriptions!B178="","",IF(AND(Inscriptions!I178="Oui",Inscriptions!J178="Oui"),"Football + Loisirs",IF(Inscriptions!I178="Oui","Football",IF(Inscriptions!J178="Oui","Centre Loisirs",""))))</f>
        <v/>
      </c>
      <c r="F184" s="28" t="str">
        <f>IF(Inscriptions!B178="","",Inscriptions!N178)</f>
        <v/>
      </c>
      <c r="G184" s="28" t="str">
        <f>IF(Inscriptions!B178="","",Inscriptions!O178)</f>
        <v/>
      </c>
      <c r="H184" s="28" t="str">
        <f>IF(Inscriptions!B178="","",IF(Inscriptions!S178="","—",Inscriptions!S178&amp;" j"))</f>
        <v/>
      </c>
      <c r="I184" s="28" t="str">
        <f>IF(Inscriptions!B178="","",IF(Inscriptions!O178="Payé","✅ Confirmation",IF(AND(Inscriptions!S178&lt;&gt;"",Inscriptions!S178&gt;0),"🔴 Retard","🟡 Rappel")))</f>
        <v/>
      </c>
      <c r="J184" s="29" t="str">
        <f>IF(Inscriptions!B178="","",IF(Inscriptions!O178="Payé",SUBSTITUTE(SUBSTITUTE(SUBSTITUTE(SUBSTITUTE(C5,"{MONTANT}",TEXT(Inscriptions!N178,"#,##0")&amp;" MRU"),"{PRENOM}",Inscriptions!C178),"{NOM}",Inscriptions!B178),"{PRESTATION}",E184),IF(AND(Inscriptions!S178&lt;&gt;"",Inscriptions!S178&gt;0),SUBSTITUTE(SUBSTITUTE(SUBSTITUTE(SUBSTITUTE(C4,"{MONTANT}",TEXT(Inscriptions!N178,"#,##0")&amp;" MRU"),"{PRENOM}",Inscriptions!C178),"{NOM}",Inscriptions!B178),"{RETARD}",TEXT(Inscriptions!S178,"0")),SUBSTITUTE(SUBSTITUTE(SUBSTITUTE(SUBSTITUTE(SUBSTITUTE(C3,"{MONTANT}",TEXT(Inscriptions!N178,"#,##0")&amp;" MRU"),"{PRENOM}",Inscriptions!C178),"{NOM}",Inscriptions!B178),"{PRESTATION}",E184),"{DATE_LIMITE}",IF(Inscriptions!R178="","non définie",TEXT(Inscriptions!R178,"DD/MM/YYYY"))))))</f>
        <v/>
      </c>
    </row>
    <row r="185" spans="1:10">
      <c r="A185" s="26" t="str">
        <f>IF(Inscriptions!B179="","",Inscriptions!A179)</f>
        <v/>
      </c>
      <c r="B185" s="26" t="str">
        <f>IF(Inscriptions!B179="","",Inscriptions!B179)</f>
        <v/>
      </c>
      <c r="C185" s="26" t="str">
        <f>IF(Inscriptions!B179="","",Inscriptions!C179)</f>
        <v/>
      </c>
      <c r="D185" s="26" t="str">
        <f>IF(Inscriptions!B179="","",Inscriptions!G179)</f>
        <v/>
      </c>
      <c r="E185" s="26" t="str">
        <f>IF(Inscriptions!B179="","",IF(AND(Inscriptions!I179="Oui",Inscriptions!J179="Oui"),"Football + Loisirs",IF(Inscriptions!I179="Oui","Football",IF(Inscriptions!J179="Oui","Centre Loisirs",""))))</f>
        <v/>
      </c>
      <c r="F185" s="26" t="str">
        <f>IF(Inscriptions!B179="","",Inscriptions!N179)</f>
        <v/>
      </c>
      <c r="G185" s="26" t="str">
        <f>IF(Inscriptions!B179="","",Inscriptions!O179)</f>
        <v/>
      </c>
      <c r="H185" s="26" t="str">
        <f>IF(Inscriptions!B179="","",IF(Inscriptions!S179="","—",Inscriptions!S179&amp;" j"))</f>
        <v/>
      </c>
      <c r="I185" s="26" t="str">
        <f>IF(Inscriptions!B179="","",IF(Inscriptions!O179="Payé","✅ Confirmation",IF(AND(Inscriptions!S179&lt;&gt;"",Inscriptions!S179&gt;0),"🔴 Retard","🟡 Rappel")))</f>
        <v/>
      </c>
      <c r="J185" s="27" t="str">
        <f>IF(Inscriptions!B179="","",IF(Inscriptions!O179="Payé",SUBSTITUTE(SUBSTITUTE(SUBSTITUTE(SUBSTITUTE(C5,"{MONTANT}",TEXT(Inscriptions!N179,"#,##0")&amp;" MRU"),"{PRENOM}",Inscriptions!C179),"{NOM}",Inscriptions!B179),"{PRESTATION}",E185),IF(AND(Inscriptions!S179&lt;&gt;"",Inscriptions!S179&gt;0),SUBSTITUTE(SUBSTITUTE(SUBSTITUTE(SUBSTITUTE(C4,"{MONTANT}",TEXT(Inscriptions!N179,"#,##0")&amp;" MRU"),"{PRENOM}",Inscriptions!C179),"{NOM}",Inscriptions!B179),"{RETARD}",TEXT(Inscriptions!S179,"0")),SUBSTITUTE(SUBSTITUTE(SUBSTITUTE(SUBSTITUTE(SUBSTITUTE(C3,"{MONTANT}",TEXT(Inscriptions!N179,"#,##0")&amp;" MRU"),"{PRENOM}",Inscriptions!C179),"{NOM}",Inscriptions!B179),"{PRESTATION}",E185),"{DATE_LIMITE}",IF(Inscriptions!R179="","non définie",TEXT(Inscriptions!R179,"DD/MM/YYYY"))))))</f>
        <v/>
      </c>
    </row>
    <row r="186" spans="1:10">
      <c r="A186" s="28" t="str">
        <f>IF(Inscriptions!B180="","",Inscriptions!A180)</f>
        <v/>
      </c>
      <c r="B186" s="28" t="str">
        <f>IF(Inscriptions!B180="","",Inscriptions!B180)</f>
        <v/>
      </c>
      <c r="C186" s="28" t="str">
        <f>IF(Inscriptions!B180="","",Inscriptions!C180)</f>
        <v/>
      </c>
      <c r="D186" s="28" t="str">
        <f>IF(Inscriptions!B180="","",Inscriptions!G180)</f>
        <v/>
      </c>
      <c r="E186" s="28" t="str">
        <f>IF(Inscriptions!B180="","",IF(AND(Inscriptions!I180="Oui",Inscriptions!J180="Oui"),"Football + Loisirs",IF(Inscriptions!I180="Oui","Football",IF(Inscriptions!J180="Oui","Centre Loisirs",""))))</f>
        <v/>
      </c>
      <c r="F186" s="28" t="str">
        <f>IF(Inscriptions!B180="","",Inscriptions!N180)</f>
        <v/>
      </c>
      <c r="G186" s="28" t="str">
        <f>IF(Inscriptions!B180="","",Inscriptions!O180)</f>
        <v/>
      </c>
      <c r="H186" s="28" t="str">
        <f>IF(Inscriptions!B180="","",IF(Inscriptions!S180="","—",Inscriptions!S180&amp;" j"))</f>
        <v/>
      </c>
      <c r="I186" s="28" t="str">
        <f>IF(Inscriptions!B180="","",IF(Inscriptions!O180="Payé","✅ Confirmation",IF(AND(Inscriptions!S180&lt;&gt;"",Inscriptions!S180&gt;0),"🔴 Retard","🟡 Rappel")))</f>
        <v/>
      </c>
      <c r="J186" s="29" t="str">
        <f>IF(Inscriptions!B180="","",IF(Inscriptions!O180="Payé",SUBSTITUTE(SUBSTITUTE(SUBSTITUTE(SUBSTITUTE(C5,"{MONTANT}",TEXT(Inscriptions!N180,"#,##0")&amp;" MRU"),"{PRENOM}",Inscriptions!C180),"{NOM}",Inscriptions!B180),"{PRESTATION}",E186),IF(AND(Inscriptions!S180&lt;&gt;"",Inscriptions!S180&gt;0),SUBSTITUTE(SUBSTITUTE(SUBSTITUTE(SUBSTITUTE(C4,"{MONTANT}",TEXT(Inscriptions!N180,"#,##0")&amp;" MRU"),"{PRENOM}",Inscriptions!C180),"{NOM}",Inscriptions!B180),"{RETARD}",TEXT(Inscriptions!S180,"0")),SUBSTITUTE(SUBSTITUTE(SUBSTITUTE(SUBSTITUTE(SUBSTITUTE(C3,"{MONTANT}",TEXT(Inscriptions!N180,"#,##0")&amp;" MRU"),"{PRENOM}",Inscriptions!C180),"{NOM}",Inscriptions!B180),"{PRESTATION}",E186),"{DATE_LIMITE}",IF(Inscriptions!R180="","non définie",TEXT(Inscriptions!R180,"DD/MM/YYYY"))))))</f>
        <v/>
      </c>
    </row>
    <row r="187" spans="1:10">
      <c r="A187" s="26" t="str">
        <f>IF(Inscriptions!B181="","",Inscriptions!A181)</f>
        <v/>
      </c>
      <c r="B187" s="26" t="str">
        <f>IF(Inscriptions!B181="","",Inscriptions!B181)</f>
        <v/>
      </c>
      <c r="C187" s="26" t="str">
        <f>IF(Inscriptions!B181="","",Inscriptions!C181)</f>
        <v/>
      </c>
      <c r="D187" s="26" t="str">
        <f>IF(Inscriptions!B181="","",Inscriptions!G181)</f>
        <v/>
      </c>
      <c r="E187" s="26" t="str">
        <f>IF(Inscriptions!B181="","",IF(AND(Inscriptions!I181="Oui",Inscriptions!J181="Oui"),"Football + Loisirs",IF(Inscriptions!I181="Oui","Football",IF(Inscriptions!J181="Oui","Centre Loisirs",""))))</f>
        <v/>
      </c>
      <c r="F187" s="26" t="str">
        <f>IF(Inscriptions!B181="","",Inscriptions!N181)</f>
        <v/>
      </c>
      <c r="G187" s="26" t="str">
        <f>IF(Inscriptions!B181="","",Inscriptions!O181)</f>
        <v/>
      </c>
      <c r="H187" s="26" t="str">
        <f>IF(Inscriptions!B181="","",IF(Inscriptions!S181="","—",Inscriptions!S181&amp;" j"))</f>
        <v/>
      </c>
      <c r="I187" s="26" t="str">
        <f>IF(Inscriptions!B181="","",IF(Inscriptions!O181="Payé","✅ Confirmation",IF(AND(Inscriptions!S181&lt;&gt;"",Inscriptions!S181&gt;0),"🔴 Retard","🟡 Rappel")))</f>
        <v/>
      </c>
      <c r="J187" s="27" t="str">
        <f>IF(Inscriptions!B181="","",IF(Inscriptions!O181="Payé",SUBSTITUTE(SUBSTITUTE(SUBSTITUTE(SUBSTITUTE(C5,"{MONTANT}",TEXT(Inscriptions!N181,"#,##0")&amp;" MRU"),"{PRENOM}",Inscriptions!C181),"{NOM}",Inscriptions!B181),"{PRESTATION}",E187),IF(AND(Inscriptions!S181&lt;&gt;"",Inscriptions!S181&gt;0),SUBSTITUTE(SUBSTITUTE(SUBSTITUTE(SUBSTITUTE(C4,"{MONTANT}",TEXT(Inscriptions!N181,"#,##0")&amp;" MRU"),"{PRENOM}",Inscriptions!C181),"{NOM}",Inscriptions!B181),"{RETARD}",TEXT(Inscriptions!S181,"0")),SUBSTITUTE(SUBSTITUTE(SUBSTITUTE(SUBSTITUTE(SUBSTITUTE(C3,"{MONTANT}",TEXT(Inscriptions!N181,"#,##0")&amp;" MRU"),"{PRENOM}",Inscriptions!C181),"{NOM}",Inscriptions!B181),"{PRESTATION}",E187),"{DATE_LIMITE}",IF(Inscriptions!R181="","non définie",TEXT(Inscriptions!R181,"DD/MM/YYYY"))))))</f>
        <v/>
      </c>
    </row>
    <row r="188" spans="1:10">
      <c r="A188" s="28" t="str">
        <f>IF(Inscriptions!B182="","",Inscriptions!A182)</f>
        <v/>
      </c>
      <c r="B188" s="28" t="str">
        <f>IF(Inscriptions!B182="","",Inscriptions!B182)</f>
        <v/>
      </c>
      <c r="C188" s="28" t="str">
        <f>IF(Inscriptions!B182="","",Inscriptions!C182)</f>
        <v/>
      </c>
      <c r="D188" s="28" t="str">
        <f>IF(Inscriptions!B182="","",Inscriptions!G182)</f>
        <v/>
      </c>
      <c r="E188" s="28" t="str">
        <f>IF(Inscriptions!B182="","",IF(AND(Inscriptions!I182="Oui",Inscriptions!J182="Oui"),"Football + Loisirs",IF(Inscriptions!I182="Oui","Football",IF(Inscriptions!J182="Oui","Centre Loisirs",""))))</f>
        <v/>
      </c>
      <c r="F188" s="28" t="str">
        <f>IF(Inscriptions!B182="","",Inscriptions!N182)</f>
        <v/>
      </c>
      <c r="G188" s="28" t="str">
        <f>IF(Inscriptions!B182="","",Inscriptions!O182)</f>
        <v/>
      </c>
      <c r="H188" s="28" t="str">
        <f>IF(Inscriptions!B182="","",IF(Inscriptions!S182="","—",Inscriptions!S182&amp;" j"))</f>
        <v/>
      </c>
      <c r="I188" s="28" t="str">
        <f>IF(Inscriptions!B182="","",IF(Inscriptions!O182="Payé","✅ Confirmation",IF(AND(Inscriptions!S182&lt;&gt;"",Inscriptions!S182&gt;0),"🔴 Retard","🟡 Rappel")))</f>
        <v/>
      </c>
      <c r="J188" s="29" t="str">
        <f>IF(Inscriptions!B182="","",IF(Inscriptions!O182="Payé",SUBSTITUTE(SUBSTITUTE(SUBSTITUTE(SUBSTITUTE(C5,"{MONTANT}",TEXT(Inscriptions!N182,"#,##0")&amp;" MRU"),"{PRENOM}",Inscriptions!C182),"{NOM}",Inscriptions!B182),"{PRESTATION}",E188),IF(AND(Inscriptions!S182&lt;&gt;"",Inscriptions!S182&gt;0),SUBSTITUTE(SUBSTITUTE(SUBSTITUTE(SUBSTITUTE(C4,"{MONTANT}",TEXT(Inscriptions!N182,"#,##0")&amp;" MRU"),"{PRENOM}",Inscriptions!C182),"{NOM}",Inscriptions!B182),"{RETARD}",TEXT(Inscriptions!S182,"0")),SUBSTITUTE(SUBSTITUTE(SUBSTITUTE(SUBSTITUTE(SUBSTITUTE(C3,"{MONTANT}",TEXT(Inscriptions!N182,"#,##0")&amp;" MRU"),"{PRENOM}",Inscriptions!C182),"{NOM}",Inscriptions!B182),"{PRESTATION}",E188),"{DATE_LIMITE}",IF(Inscriptions!R182="","non définie",TEXT(Inscriptions!R182,"DD/MM/YYYY"))))))</f>
        <v/>
      </c>
    </row>
    <row r="189" spans="1:10">
      <c r="A189" s="26" t="str">
        <f>IF(Inscriptions!B183="","",Inscriptions!A183)</f>
        <v/>
      </c>
      <c r="B189" s="26" t="str">
        <f>IF(Inscriptions!B183="","",Inscriptions!B183)</f>
        <v/>
      </c>
      <c r="C189" s="26" t="str">
        <f>IF(Inscriptions!B183="","",Inscriptions!C183)</f>
        <v/>
      </c>
      <c r="D189" s="26" t="str">
        <f>IF(Inscriptions!B183="","",Inscriptions!G183)</f>
        <v/>
      </c>
      <c r="E189" s="26" t="str">
        <f>IF(Inscriptions!B183="","",IF(AND(Inscriptions!I183="Oui",Inscriptions!J183="Oui"),"Football + Loisirs",IF(Inscriptions!I183="Oui","Football",IF(Inscriptions!J183="Oui","Centre Loisirs",""))))</f>
        <v/>
      </c>
      <c r="F189" s="26" t="str">
        <f>IF(Inscriptions!B183="","",Inscriptions!N183)</f>
        <v/>
      </c>
      <c r="G189" s="26" t="str">
        <f>IF(Inscriptions!B183="","",Inscriptions!O183)</f>
        <v/>
      </c>
      <c r="H189" s="26" t="str">
        <f>IF(Inscriptions!B183="","",IF(Inscriptions!S183="","—",Inscriptions!S183&amp;" j"))</f>
        <v/>
      </c>
      <c r="I189" s="26" t="str">
        <f>IF(Inscriptions!B183="","",IF(Inscriptions!O183="Payé","✅ Confirmation",IF(AND(Inscriptions!S183&lt;&gt;"",Inscriptions!S183&gt;0),"🔴 Retard","🟡 Rappel")))</f>
        <v/>
      </c>
      <c r="J189" s="27" t="str">
        <f>IF(Inscriptions!B183="","",IF(Inscriptions!O183="Payé",SUBSTITUTE(SUBSTITUTE(SUBSTITUTE(SUBSTITUTE(C5,"{MONTANT}",TEXT(Inscriptions!N183,"#,##0")&amp;" MRU"),"{PRENOM}",Inscriptions!C183),"{NOM}",Inscriptions!B183),"{PRESTATION}",E189),IF(AND(Inscriptions!S183&lt;&gt;"",Inscriptions!S183&gt;0),SUBSTITUTE(SUBSTITUTE(SUBSTITUTE(SUBSTITUTE(C4,"{MONTANT}",TEXT(Inscriptions!N183,"#,##0")&amp;" MRU"),"{PRENOM}",Inscriptions!C183),"{NOM}",Inscriptions!B183),"{RETARD}",TEXT(Inscriptions!S183,"0")),SUBSTITUTE(SUBSTITUTE(SUBSTITUTE(SUBSTITUTE(SUBSTITUTE(C3,"{MONTANT}",TEXT(Inscriptions!N183,"#,##0")&amp;" MRU"),"{PRENOM}",Inscriptions!C183),"{NOM}",Inscriptions!B183),"{PRESTATION}",E189),"{DATE_LIMITE}",IF(Inscriptions!R183="","non définie",TEXT(Inscriptions!R183,"DD/MM/YYYY"))))))</f>
        <v/>
      </c>
    </row>
    <row r="190" spans="1:10">
      <c r="A190" s="28" t="str">
        <f>IF(Inscriptions!B184="","",Inscriptions!A184)</f>
        <v/>
      </c>
      <c r="B190" s="28" t="str">
        <f>IF(Inscriptions!B184="","",Inscriptions!B184)</f>
        <v/>
      </c>
      <c r="C190" s="28" t="str">
        <f>IF(Inscriptions!B184="","",Inscriptions!C184)</f>
        <v/>
      </c>
      <c r="D190" s="28" t="str">
        <f>IF(Inscriptions!B184="","",Inscriptions!G184)</f>
        <v/>
      </c>
      <c r="E190" s="28" t="str">
        <f>IF(Inscriptions!B184="","",IF(AND(Inscriptions!I184="Oui",Inscriptions!J184="Oui"),"Football + Loisirs",IF(Inscriptions!I184="Oui","Football",IF(Inscriptions!J184="Oui","Centre Loisirs",""))))</f>
        <v/>
      </c>
      <c r="F190" s="28" t="str">
        <f>IF(Inscriptions!B184="","",Inscriptions!N184)</f>
        <v/>
      </c>
      <c r="G190" s="28" t="str">
        <f>IF(Inscriptions!B184="","",Inscriptions!O184)</f>
        <v/>
      </c>
      <c r="H190" s="28" t="str">
        <f>IF(Inscriptions!B184="","",IF(Inscriptions!S184="","—",Inscriptions!S184&amp;" j"))</f>
        <v/>
      </c>
      <c r="I190" s="28" t="str">
        <f>IF(Inscriptions!B184="","",IF(Inscriptions!O184="Payé","✅ Confirmation",IF(AND(Inscriptions!S184&lt;&gt;"",Inscriptions!S184&gt;0),"🔴 Retard","🟡 Rappel")))</f>
        <v/>
      </c>
      <c r="J190" s="29" t="str">
        <f>IF(Inscriptions!B184="","",IF(Inscriptions!O184="Payé",SUBSTITUTE(SUBSTITUTE(SUBSTITUTE(SUBSTITUTE(C5,"{MONTANT}",TEXT(Inscriptions!N184,"#,##0")&amp;" MRU"),"{PRENOM}",Inscriptions!C184),"{NOM}",Inscriptions!B184),"{PRESTATION}",E190),IF(AND(Inscriptions!S184&lt;&gt;"",Inscriptions!S184&gt;0),SUBSTITUTE(SUBSTITUTE(SUBSTITUTE(SUBSTITUTE(C4,"{MONTANT}",TEXT(Inscriptions!N184,"#,##0")&amp;" MRU"),"{PRENOM}",Inscriptions!C184),"{NOM}",Inscriptions!B184),"{RETARD}",TEXT(Inscriptions!S184,"0")),SUBSTITUTE(SUBSTITUTE(SUBSTITUTE(SUBSTITUTE(SUBSTITUTE(C3,"{MONTANT}",TEXT(Inscriptions!N184,"#,##0")&amp;" MRU"),"{PRENOM}",Inscriptions!C184),"{NOM}",Inscriptions!B184),"{PRESTATION}",E190),"{DATE_LIMITE}",IF(Inscriptions!R184="","non définie",TEXT(Inscriptions!R184,"DD/MM/YYYY"))))))</f>
        <v/>
      </c>
    </row>
    <row r="191" spans="1:10">
      <c r="A191" s="26" t="str">
        <f>IF(Inscriptions!B185="","",Inscriptions!A185)</f>
        <v/>
      </c>
      <c r="B191" s="26" t="str">
        <f>IF(Inscriptions!B185="","",Inscriptions!B185)</f>
        <v/>
      </c>
      <c r="C191" s="26" t="str">
        <f>IF(Inscriptions!B185="","",Inscriptions!C185)</f>
        <v/>
      </c>
      <c r="D191" s="26" t="str">
        <f>IF(Inscriptions!B185="","",Inscriptions!G185)</f>
        <v/>
      </c>
      <c r="E191" s="26" t="str">
        <f>IF(Inscriptions!B185="","",IF(AND(Inscriptions!I185="Oui",Inscriptions!J185="Oui"),"Football + Loisirs",IF(Inscriptions!I185="Oui","Football",IF(Inscriptions!J185="Oui","Centre Loisirs",""))))</f>
        <v/>
      </c>
      <c r="F191" s="26" t="str">
        <f>IF(Inscriptions!B185="","",Inscriptions!N185)</f>
        <v/>
      </c>
      <c r="G191" s="26" t="str">
        <f>IF(Inscriptions!B185="","",Inscriptions!O185)</f>
        <v/>
      </c>
      <c r="H191" s="26" t="str">
        <f>IF(Inscriptions!B185="","",IF(Inscriptions!S185="","—",Inscriptions!S185&amp;" j"))</f>
        <v/>
      </c>
      <c r="I191" s="26" t="str">
        <f>IF(Inscriptions!B185="","",IF(Inscriptions!O185="Payé","✅ Confirmation",IF(AND(Inscriptions!S185&lt;&gt;"",Inscriptions!S185&gt;0),"🔴 Retard","🟡 Rappel")))</f>
        <v/>
      </c>
      <c r="J191" s="27" t="str">
        <f>IF(Inscriptions!B185="","",IF(Inscriptions!O185="Payé",SUBSTITUTE(SUBSTITUTE(SUBSTITUTE(SUBSTITUTE(C5,"{MONTANT}",TEXT(Inscriptions!N185,"#,##0")&amp;" MRU"),"{PRENOM}",Inscriptions!C185),"{NOM}",Inscriptions!B185),"{PRESTATION}",E191),IF(AND(Inscriptions!S185&lt;&gt;"",Inscriptions!S185&gt;0),SUBSTITUTE(SUBSTITUTE(SUBSTITUTE(SUBSTITUTE(C4,"{MONTANT}",TEXT(Inscriptions!N185,"#,##0")&amp;" MRU"),"{PRENOM}",Inscriptions!C185),"{NOM}",Inscriptions!B185),"{RETARD}",TEXT(Inscriptions!S185,"0")),SUBSTITUTE(SUBSTITUTE(SUBSTITUTE(SUBSTITUTE(SUBSTITUTE(C3,"{MONTANT}",TEXT(Inscriptions!N185,"#,##0")&amp;" MRU"),"{PRENOM}",Inscriptions!C185),"{NOM}",Inscriptions!B185),"{PRESTATION}",E191),"{DATE_LIMITE}",IF(Inscriptions!R185="","non définie",TEXT(Inscriptions!R185,"DD/MM/YYYY"))))))</f>
        <v/>
      </c>
    </row>
    <row r="192" spans="1:10">
      <c r="A192" s="28" t="str">
        <f>IF(Inscriptions!B186="","",Inscriptions!A186)</f>
        <v/>
      </c>
      <c r="B192" s="28" t="str">
        <f>IF(Inscriptions!B186="","",Inscriptions!B186)</f>
        <v/>
      </c>
      <c r="C192" s="28" t="str">
        <f>IF(Inscriptions!B186="","",Inscriptions!C186)</f>
        <v/>
      </c>
      <c r="D192" s="28" t="str">
        <f>IF(Inscriptions!B186="","",Inscriptions!G186)</f>
        <v/>
      </c>
      <c r="E192" s="28" t="str">
        <f>IF(Inscriptions!B186="","",IF(AND(Inscriptions!I186="Oui",Inscriptions!J186="Oui"),"Football + Loisirs",IF(Inscriptions!I186="Oui","Football",IF(Inscriptions!J186="Oui","Centre Loisirs",""))))</f>
        <v/>
      </c>
      <c r="F192" s="28" t="str">
        <f>IF(Inscriptions!B186="","",Inscriptions!N186)</f>
        <v/>
      </c>
      <c r="G192" s="28" t="str">
        <f>IF(Inscriptions!B186="","",Inscriptions!O186)</f>
        <v/>
      </c>
      <c r="H192" s="28" t="str">
        <f>IF(Inscriptions!B186="","",IF(Inscriptions!S186="","—",Inscriptions!S186&amp;" j"))</f>
        <v/>
      </c>
      <c r="I192" s="28" t="str">
        <f>IF(Inscriptions!B186="","",IF(Inscriptions!O186="Payé","✅ Confirmation",IF(AND(Inscriptions!S186&lt;&gt;"",Inscriptions!S186&gt;0),"🔴 Retard","🟡 Rappel")))</f>
        <v/>
      </c>
      <c r="J192" s="29" t="str">
        <f>IF(Inscriptions!B186="","",IF(Inscriptions!O186="Payé",SUBSTITUTE(SUBSTITUTE(SUBSTITUTE(SUBSTITUTE(C5,"{MONTANT}",TEXT(Inscriptions!N186,"#,##0")&amp;" MRU"),"{PRENOM}",Inscriptions!C186),"{NOM}",Inscriptions!B186),"{PRESTATION}",E192),IF(AND(Inscriptions!S186&lt;&gt;"",Inscriptions!S186&gt;0),SUBSTITUTE(SUBSTITUTE(SUBSTITUTE(SUBSTITUTE(C4,"{MONTANT}",TEXT(Inscriptions!N186,"#,##0")&amp;" MRU"),"{PRENOM}",Inscriptions!C186),"{NOM}",Inscriptions!B186),"{RETARD}",TEXT(Inscriptions!S186,"0")),SUBSTITUTE(SUBSTITUTE(SUBSTITUTE(SUBSTITUTE(SUBSTITUTE(C3,"{MONTANT}",TEXT(Inscriptions!N186,"#,##0")&amp;" MRU"),"{PRENOM}",Inscriptions!C186),"{NOM}",Inscriptions!B186),"{PRESTATION}",E192),"{DATE_LIMITE}",IF(Inscriptions!R186="","non définie",TEXT(Inscriptions!R186,"DD/MM/YYYY"))))))</f>
        <v/>
      </c>
    </row>
    <row r="193" spans="1:10">
      <c r="A193" s="26" t="str">
        <f>IF(Inscriptions!B187="","",Inscriptions!A187)</f>
        <v/>
      </c>
      <c r="B193" s="26" t="str">
        <f>IF(Inscriptions!B187="","",Inscriptions!B187)</f>
        <v/>
      </c>
      <c r="C193" s="26" t="str">
        <f>IF(Inscriptions!B187="","",Inscriptions!C187)</f>
        <v/>
      </c>
      <c r="D193" s="26" t="str">
        <f>IF(Inscriptions!B187="","",Inscriptions!G187)</f>
        <v/>
      </c>
      <c r="E193" s="26" t="str">
        <f>IF(Inscriptions!B187="","",IF(AND(Inscriptions!I187="Oui",Inscriptions!J187="Oui"),"Football + Loisirs",IF(Inscriptions!I187="Oui","Football",IF(Inscriptions!J187="Oui","Centre Loisirs",""))))</f>
        <v/>
      </c>
      <c r="F193" s="26" t="str">
        <f>IF(Inscriptions!B187="","",Inscriptions!N187)</f>
        <v/>
      </c>
      <c r="G193" s="26" t="str">
        <f>IF(Inscriptions!B187="","",Inscriptions!O187)</f>
        <v/>
      </c>
      <c r="H193" s="26" t="str">
        <f>IF(Inscriptions!B187="","",IF(Inscriptions!S187="","—",Inscriptions!S187&amp;" j"))</f>
        <v/>
      </c>
      <c r="I193" s="26" t="str">
        <f>IF(Inscriptions!B187="","",IF(Inscriptions!O187="Payé","✅ Confirmation",IF(AND(Inscriptions!S187&lt;&gt;"",Inscriptions!S187&gt;0),"🔴 Retard","🟡 Rappel")))</f>
        <v/>
      </c>
      <c r="J193" s="27" t="str">
        <f>IF(Inscriptions!B187="","",IF(Inscriptions!O187="Payé",SUBSTITUTE(SUBSTITUTE(SUBSTITUTE(SUBSTITUTE(C5,"{MONTANT}",TEXT(Inscriptions!N187,"#,##0")&amp;" MRU"),"{PRENOM}",Inscriptions!C187),"{NOM}",Inscriptions!B187),"{PRESTATION}",E193),IF(AND(Inscriptions!S187&lt;&gt;"",Inscriptions!S187&gt;0),SUBSTITUTE(SUBSTITUTE(SUBSTITUTE(SUBSTITUTE(C4,"{MONTANT}",TEXT(Inscriptions!N187,"#,##0")&amp;" MRU"),"{PRENOM}",Inscriptions!C187),"{NOM}",Inscriptions!B187),"{RETARD}",TEXT(Inscriptions!S187,"0")),SUBSTITUTE(SUBSTITUTE(SUBSTITUTE(SUBSTITUTE(SUBSTITUTE(C3,"{MONTANT}",TEXT(Inscriptions!N187,"#,##0")&amp;" MRU"),"{PRENOM}",Inscriptions!C187),"{NOM}",Inscriptions!B187),"{PRESTATION}",E193),"{DATE_LIMITE}",IF(Inscriptions!R187="","non définie",TEXT(Inscriptions!R187,"DD/MM/YYYY"))))))</f>
        <v/>
      </c>
    </row>
    <row r="194" spans="1:10">
      <c r="A194" s="28" t="str">
        <f>IF(Inscriptions!B188="","",Inscriptions!A188)</f>
        <v/>
      </c>
      <c r="B194" s="28" t="str">
        <f>IF(Inscriptions!B188="","",Inscriptions!B188)</f>
        <v/>
      </c>
      <c r="C194" s="28" t="str">
        <f>IF(Inscriptions!B188="","",Inscriptions!C188)</f>
        <v/>
      </c>
      <c r="D194" s="28" t="str">
        <f>IF(Inscriptions!B188="","",Inscriptions!G188)</f>
        <v/>
      </c>
      <c r="E194" s="28" t="str">
        <f>IF(Inscriptions!B188="","",IF(AND(Inscriptions!I188="Oui",Inscriptions!J188="Oui"),"Football + Loisirs",IF(Inscriptions!I188="Oui","Football",IF(Inscriptions!J188="Oui","Centre Loisirs",""))))</f>
        <v/>
      </c>
      <c r="F194" s="28" t="str">
        <f>IF(Inscriptions!B188="","",Inscriptions!N188)</f>
        <v/>
      </c>
      <c r="G194" s="28" t="str">
        <f>IF(Inscriptions!B188="","",Inscriptions!O188)</f>
        <v/>
      </c>
      <c r="H194" s="28" t="str">
        <f>IF(Inscriptions!B188="","",IF(Inscriptions!S188="","—",Inscriptions!S188&amp;" j"))</f>
        <v/>
      </c>
      <c r="I194" s="28" t="str">
        <f>IF(Inscriptions!B188="","",IF(Inscriptions!O188="Payé","✅ Confirmation",IF(AND(Inscriptions!S188&lt;&gt;"",Inscriptions!S188&gt;0),"🔴 Retard","🟡 Rappel")))</f>
        <v/>
      </c>
      <c r="J194" s="29" t="str">
        <f>IF(Inscriptions!B188="","",IF(Inscriptions!O188="Payé",SUBSTITUTE(SUBSTITUTE(SUBSTITUTE(SUBSTITUTE(C5,"{MONTANT}",TEXT(Inscriptions!N188,"#,##0")&amp;" MRU"),"{PRENOM}",Inscriptions!C188),"{NOM}",Inscriptions!B188),"{PRESTATION}",E194),IF(AND(Inscriptions!S188&lt;&gt;"",Inscriptions!S188&gt;0),SUBSTITUTE(SUBSTITUTE(SUBSTITUTE(SUBSTITUTE(C4,"{MONTANT}",TEXT(Inscriptions!N188,"#,##0")&amp;" MRU"),"{PRENOM}",Inscriptions!C188),"{NOM}",Inscriptions!B188),"{RETARD}",TEXT(Inscriptions!S188,"0")),SUBSTITUTE(SUBSTITUTE(SUBSTITUTE(SUBSTITUTE(SUBSTITUTE(C3,"{MONTANT}",TEXT(Inscriptions!N188,"#,##0")&amp;" MRU"),"{PRENOM}",Inscriptions!C188),"{NOM}",Inscriptions!B188),"{PRESTATION}",E194),"{DATE_LIMITE}",IF(Inscriptions!R188="","non définie",TEXT(Inscriptions!R188,"DD/MM/YYYY"))))))</f>
        <v/>
      </c>
    </row>
    <row r="195" spans="1:10">
      <c r="A195" s="26" t="str">
        <f>IF(Inscriptions!B189="","",Inscriptions!A189)</f>
        <v/>
      </c>
      <c r="B195" s="26" t="str">
        <f>IF(Inscriptions!B189="","",Inscriptions!B189)</f>
        <v/>
      </c>
      <c r="C195" s="26" t="str">
        <f>IF(Inscriptions!B189="","",Inscriptions!C189)</f>
        <v/>
      </c>
      <c r="D195" s="26" t="str">
        <f>IF(Inscriptions!B189="","",Inscriptions!G189)</f>
        <v/>
      </c>
      <c r="E195" s="26" t="str">
        <f>IF(Inscriptions!B189="","",IF(AND(Inscriptions!I189="Oui",Inscriptions!J189="Oui"),"Football + Loisirs",IF(Inscriptions!I189="Oui","Football",IF(Inscriptions!J189="Oui","Centre Loisirs",""))))</f>
        <v/>
      </c>
      <c r="F195" s="26" t="str">
        <f>IF(Inscriptions!B189="","",Inscriptions!N189)</f>
        <v/>
      </c>
      <c r="G195" s="26" t="str">
        <f>IF(Inscriptions!B189="","",Inscriptions!O189)</f>
        <v/>
      </c>
      <c r="H195" s="26" t="str">
        <f>IF(Inscriptions!B189="","",IF(Inscriptions!S189="","—",Inscriptions!S189&amp;" j"))</f>
        <v/>
      </c>
      <c r="I195" s="26" t="str">
        <f>IF(Inscriptions!B189="","",IF(Inscriptions!O189="Payé","✅ Confirmation",IF(AND(Inscriptions!S189&lt;&gt;"",Inscriptions!S189&gt;0),"🔴 Retard","🟡 Rappel")))</f>
        <v/>
      </c>
      <c r="J195" s="27" t="str">
        <f>IF(Inscriptions!B189="","",IF(Inscriptions!O189="Payé",SUBSTITUTE(SUBSTITUTE(SUBSTITUTE(SUBSTITUTE(C5,"{MONTANT}",TEXT(Inscriptions!N189,"#,##0")&amp;" MRU"),"{PRENOM}",Inscriptions!C189),"{NOM}",Inscriptions!B189),"{PRESTATION}",E195),IF(AND(Inscriptions!S189&lt;&gt;"",Inscriptions!S189&gt;0),SUBSTITUTE(SUBSTITUTE(SUBSTITUTE(SUBSTITUTE(C4,"{MONTANT}",TEXT(Inscriptions!N189,"#,##0")&amp;" MRU"),"{PRENOM}",Inscriptions!C189),"{NOM}",Inscriptions!B189),"{RETARD}",TEXT(Inscriptions!S189,"0")),SUBSTITUTE(SUBSTITUTE(SUBSTITUTE(SUBSTITUTE(SUBSTITUTE(C3,"{MONTANT}",TEXT(Inscriptions!N189,"#,##0")&amp;" MRU"),"{PRENOM}",Inscriptions!C189),"{NOM}",Inscriptions!B189),"{PRESTATION}",E195),"{DATE_LIMITE}",IF(Inscriptions!R189="","non définie",TEXT(Inscriptions!R189,"DD/MM/YYYY"))))))</f>
        <v/>
      </c>
    </row>
    <row r="196" spans="1:10">
      <c r="A196" s="28" t="str">
        <f>IF(Inscriptions!B190="","",Inscriptions!A190)</f>
        <v/>
      </c>
      <c r="B196" s="28" t="str">
        <f>IF(Inscriptions!B190="","",Inscriptions!B190)</f>
        <v/>
      </c>
      <c r="C196" s="28" t="str">
        <f>IF(Inscriptions!B190="","",Inscriptions!C190)</f>
        <v/>
      </c>
      <c r="D196" s="28" t="str">
        <f>IF(Inscriptions!B190="","",Inscriptions!G190)</f>
        <v/>
      </c>
      <c r="E196" s="28" t="str">
        <f>IF(Inscriptions!B190="","",IF(AND(Inscriptions!I190="Oui",Inscriptions!J190="Oui"),"Football + Loisirs",IF(Inscriptions!I190="Oui","Football",IF(Inscriptions!J190="Oui","Centre Loisirs",""))))</f>
        <v/>
      </c>
      <c r="F196" s="28" t="str">
        <f>IF(Inscriptions!B190="","",Inscriptions!N190)</f>
        <v/>
      </c>
      <c r="G196" s="28" t="str">
        <f>IF(Inscriptions!B190="","",Inscriptions!O190)</f>
        <v/>
      </c>
      <c r="H196" s="28" t="str">
        <f>IF(Inscriptions!B190="","",IF(Inscriptions!S190="","—",Inscriptions!S190&amp;" j"))</f>
        <v/>
      </c>
      <c r="I196" s="28" t="str">
        <f>IF(Inscriptions!B190="","",IF(Inscriptions!O190="Payé","✅ Confirmation",IF(AND(Inscriptions!S190&lt;&gt;"",Inscriptions!S190&gt;0),"🔴 Retard","🟡 Rappel")))</f>
        <v/>
      </c>
      <c r="J196" s="29" t="str">
        <f>IF(Inscriptions!B190="","",IF(Inscriptions!O190="Payé",SUBSTITUTE(SUBSTITUTE(SUBSTITUTE(SUBSTITUTE(C5,"{MONTANT}",TEXT(Inscriptions!N190,"#,##0")&amp;" MRU"),"{PRENOM}",Inscriptions!C190),"{NOM}",Inscriptions!B190),"{PRESTATION}",E196),IF(AND(Inscriptions!S190&lt;&gt;"",Inscriptions!S190&gt;0),SUBSTITUTE(SUBSTITUTE(SUBSTITUTE(SUBSTITUTE(C4,"{MONTANT}",TEXT(Inscriptions!N190,"#,##0")&amp;" MRU"),"{PRENOM}",Inscriptions!C190),"{NOM}",Inscriptions!B190),"{RETARD}",TEXT(Inscriptions!S190,"0")),SUBSTITUTE(SUBSTITUTE(SUBSTITUTE(SUBSTITUTE(SUBSTITUTE(C3,"{MONTANT}",TEXT(Inscriptions!N190,"#,##0")&amp;" MRU"),"{PRENOM}",Inscriptions!C190),"{NOM}",Inscriptions!B190),"{PRESTATION}",E196),"{DATE_LIMITE}",IF(Inscriptions!R190="","non définie",TEXT(Inscriptions!R190,"DD/MM/YYYY"))))))</f>
        <v/>
      </c>
    </row>
    <row r="197" spans="1:10">
      <c r="A197" s="26" t="str">
        <f>IF(Inscriptions!B191="","",Inscriptions!A191)</f>
        <v/>
      </c>
      <c r="B197" s="26" t="str">
        <f>IF(Inscriptions!B191="","",Inscriptions!B191)</f>
        <v/>
      </c>
      <c r="C197" s="26" t="str">
        <f>IF(Inscriptions!B191="","",Inscriptions!C191)</f>
        <v/>
      </c>
      <c r="D197" s="26" t="str">
        <f>IF(Inscriptions!B191="","",Inscriptions!G191)</f>
        <v/>
      </c>
      <c r="E197" s="26" t="str">
        <f>IF(Inscriptions!B191="","",IF(AND(Inscriptions!I191="Oui",Inscriptions!J191="Oui"),"Football + Loisirs",IF(Inscriptions!I191="Oui","Football",IF(Inscriptions!J191="Oui","Centre Loisirs",""))))</f>
        <v/>
      </c>
      <c r="F197" s="26" t="str">
        <f>IF(Inscriptions!B191="","",Inscriptions!N191)</f>
        <v/>
      </c>
      <c r="G197" s="26" t="str">
        <f>IF(Inscriptions!B191="","",Inscriptions!O191)</f>
        <v/>
      </c>
      <c r="H197" s="26" t="str">
        <f>IF(Inscriptions!B191="","",IF(Inscriptions!S191="","—",Inscriptions!S191&amp;" j"))</f>
        <v/>
      </c>
      <c r="I197" s="26" t="str">
        <f>IF(Inscriptions!B191="","",IF(Inscriptions!O191="Payé","✅ Confirmation",IF(AND(Inscriptions!S191&lt;&gt;"",Inscriptions!S191&gt;0),"🔴 Retard","🟡 Rappel")))</f>
        <v/>
      </c>
      <c r="J197" s="27" t="str">
        <f>IF(Inscriptions!B191="","",IF(Inscriptions!O191="Payé",SUBSTITUTE(SUBSTITUTE(SUBSTITUTE(SUBSTITUTE(C5,"{MONTANT}",TEXT(Inscriptions!N191,"#,##0")&amp;" MRU"),"{PRENOM}",Inscriptions!C191),"{NOM}",Inscriptions!B191),"{PRESTATION}",E197),IF(AND(Inscriptions!S191&lt;&gt;"",Inscriptions!S191&gt;0),SUBSTITUTE(SUBSTITUTE(SUBSTITUTE(SUBSTITUTE(C4,"{MONTANT}",TEXT(Inscriptions!N191,"#,##0")&amp;" MRU"),"{PRENOM}",Inscriptions!C191),"{NOM}",Inscriptions!B191),"{RETARD}",TEXT(Inscriptions!S191,"0")),SUBSTITUTE(SUBSTITUTE(SUBSTITUTE(SUBSTITUTE(SUBSTITUTE(C3,"{MONTANT}",TEXT(Inscriptions!N191,"#,##0")&amp;" MRU"),"{PRENOM}",Inscriptions!C191),"{NOM}",Inscriptions!B191),"{PRESTATION}",E197),"{DATE_LIMITE}",IF(Inscriptions!R191="","non définie",TEXT(Inscriptions!R191,"DD/MM/YYYY"))))))</f>
        <v/>
      </c>
    </row>
    <row r="198" spans="1:10">
      <c r="A198" s="28" t="str">
        <f>IF(Inscriptions!B192="","",Inscriptions!A192)</f>
        <v/>
      </c>
      <c r="B198" s="28" t="str">
        <f>IF(Inscriptions!B192="","",Inscriptions!B192)</f>
        <v/>
      </c>
      <c r="C198" s="28" t="str">
        <f>IF(Inscriptions!B192="","",Inscriptions!C192)</f>
        <v/>
      </c>
      <c r="D198" s="28" t="str">
        <f>IF(Inscriptions!B192="","",Inscriptions!G192)</f>
        <v/>
      </c>
      <c r="E198" s="28" t="str">
        <f>IF(Inscriptions!B192="","",IF(AND(Inscriptions!I192="Oui",Inscriptions!J192="Oui"),"Football + Loisirs",IF(Inscriptions!I192="Oui","Football",IF(Inscriptions!J192="Oui","Centre Loisirs",""))))</f>
        <v/>
      </c>
      <c r="F198" s="28" t="str">
        <f>IF(Inscriptions!B192="","",Inscriptions!N192)</f>
        <v/>
      </c>
      <c r="G198" s="28" t="str">
        <f>IF(Inscriptions!B192="","",Inscriptions!O192)</f>
        <v/>
      </c>
      <c r="H198" s="28" t="str">
        <f>IF(Inscriptions!B192="","",IF(Inscriptions!S192="","—",Inscriptions!S192&amp;" j"))</f>
        <v/>
      </c>
      <c r="I198" s="28" t="str">
        <f>IF(Inscriptions!B192="","",IF(Inscriptions!O192="Payé","✅ Confirmation",IF(AND(Inscriptions!S192&lt;&gt;"",Inscriptions!S192&gt;0),"🔴 Retard","🟡 Rappel")))</f>
        <v/>
      </c>
      <c r="J198" s="29" t="str">
        <f>IF(Inscriptions!B192="","",IF(Inscriptions!O192="Payé",SUBSTITUTE(SUBSTITUTE(SUBSTITUTE(SUBSTITUTE(C5,"{MONTANT}",TEXT(Inscriptions!N192,"#,##0")&amp;" MRU"),"{PRENOM}",Inscriptions!C192),"{NOM}",Inscriptions!B192),"{PRESTATION}",E198),IF(AND(Inscriptions!S192&lt;&gt;"",Inscriptions!S192&gt;0),SUBSTITUTE(SUBSTITUTE(SUBSTITUTE(SUBSTITUTE(C4,"{MONTANT}",TEXT(Inscriptions!N192,"#,##0")&amp;" MRU"),"{PRENOM}",Inscriptions!C192),"{NOM}",Inscriptions!B192),"{RETARD}",TEXT(Inscriptions!S192,"0")),SUBSTITUTE(SUBSTITUTE(SUBSTITUTE(SUBSTITUTE(SUBSTITUTE(C3,"{MONTANT}",TEXT(Inscriptions!N192,"#,##0")&amp;" MRU"),"{PRENOM}",Inscriptions!C192),"{NOM}",Inscriptions!B192),"{PRESTATION}",E198),"{DATE_LIMITE}",IF(Inscriptions!R192="","non définie",TEXT(Inscriptions!R192,"DD/MM/YYYY"))))))</f>
        <v/>
      </c>
    </row>
    <row r="199" spans="1:10">
      <c r="A199" s="26" t="str">
        <f>IF(Inscriptions!B193="","",Inscriptions!A193)</f>
        <v/>
      </c>
      <c r="B199" s="26" t="str">
        <f>IF(Inscriptions!B193="","",Inscriptions!B193)</f>
        <v/>
      </c>
      <c r="C199" s="26" t="str">
        <f>IF(Inscriptions!B193="","",Inscriptions!C193)</f>
        <v/>
      </c>
      <c r="D199" s="26" t="str">
        <f>IF(Inscriptions!B193="","",Inscriptions!G193)</f>
        <v/>
      </c>
      <c r="E199" s="26" t="str">
        <f>IF(Inscriptions!B193="","",IF(AND(Inscriptions!I193="Oui",Inscriptions!J193="Oui"),"Football + Loisirs",IF(Inscriptions!I193="Oui","Football",IF(Inscriptions!J193="Oui","Centre Loisirs",""))))</f>
        <v/>
      </c>
      <c r="F199" s="26" t="str">
        <f>IF(Inscriptions!B193="","",Inscriptions!N193)</f>
        <v/>
      </c>
      <c r="G199" s="26" t="str">
        <f>IF(Inscriptions!B193="","",Inscriptions!O193)</f>
        <v/>
      </c>
      <c r="H199" s="26" t="str">
        <f>IF(Inscriptions!B193="","",IF(Inscriptions!S193="","—",Inscriptions!S193&amp;" j"))</f>
        <v/>
      </c>
      <c r="I199" s="26" t="str">
        <f>IF(Inscriptions!B193="","",IF(Inscriptions!O193="Payé","✅ Confirmation",IF(AND(Inscriptions!S193&lt;&gt;"",Inscriptions!S193&gt;0),"🔴 Retard","🟡 Rappel")))</f>
        <v/>
      </c>
      <c r="J199" s="27" t="str">
        <f>IF(Inscriptions!B193="","",IF(Inscriptions!O193="Payé",SUBSTITUTE(SUBSTITUTE(SUBSTITUTE(SUBSTITUTE(C5,"{MONTANT}",TEXT(Inscriptions!N193,"#,##0")&amp;" MRU"),"{PRENOM}",Inscriptions!C193),"{NOM}",Inscriptions!B193),"{PRESTATION}",E199),IF(AND(Inscriptions!S193&lt;&gt;"",Inscriptions!S193&gt;0),SUBSTITUTE(SUBSTITUTE(SUBSTITUTE(SUBSTITUTE(C4,"{MONTANT}",TEXT(Inscriptions!N193,"#,##0")&amp;" MRU"),"{PRENOM}",Inscriptions!C193),"{NOM}",Inscriptions!B193),"{RETARD}",TEXT(Inscriptions!S193,"0")),SUBSTITUTE(SUBSTITUTE(SUBSTITUTE(SUBSTITUTE(SUBSTITUTE(C3,"{MONTANT}",TEXT(Inscriptions!N193,"#,##0")&amp;" MRU"),"{PRENOM}",Inscriptions!C193),"{NOM}",Inscriptions!B193),"{PRESTATION}",E199),"{DATE_LIMITE}",IF(Inscriptions!R193="","non définie",TEXT(Inscriptions!R193,"DD/MM/YYYY"))))))</f>
        <v/>
      </c>
    </row>
    <row r="200" spans="1:10">
      <c r="A200" s="28" t="str">
        <f>IF(Inscriptions!B194="","",Inscriptions!A194)</f>
        <v/>
      </c>
      <c r="B200" s="28" t="str">
        <f>IF(Inscriptions!B194="","",Inscriptions!B194)</f>
        <v/>
      </c>
      <c r="C200" s="28" t="str">
        <f>IF(Inscriptions!B194="","",Inscriptions!C194)</f>
        <v/>
      </c>
      <c r="D200" s="28" t="str">
        <f>IF(Inscriptions!B194="","",Inscriptions!G194)</f>
        <v/>
      </c>
      <c r="E200" s="28" t="str">
        <f>IF(Inscriptions!B194="","",IF(AND(Inscriptions!I194="Oui",Inscriptions!J194="Oui"),"Football + Loisirs",IF(Inscriptions!I194="Oui","Football",IF(Inscriptions!J194="Oui","Centre Loisirs",""))))</f>
        <v/>
      </c>
      <c r="F200" s="28" t="str">
        <f>IF(Inscriptions!B194="","",Inscriptions!N194)</f>
        <v/>
      </c>
      <c r="G200" s="28" t="str">
        <f>IF(Inscriptions!B194="","",Inscriptions!O194)</f>
        <v/>
      </c>
      <c r="H200" s="28" t="str">
        <f>IF(Inscriptions!B194="","",IF(Inscriptions!S194="","—",Inscriptions!S194&amp;" j"))</f>
        <v/>
      </c>
      <c r="I200" s="28" t="str">
        <f>IF(Inscriptions!B194="","",IF(Inscriptions!O194="Payé","✅ Confirmation",IF(AND(Inscriptions!S194&lt;&gt;"",Inscriptions!S194&gt;0),"🔴 Retard","🟡 Rappel")))</f>
        <v/>
      </c>
      <c r="J200" s="29" t="str">
        <f>IF(Inscriptions!B194="","",IF(Inscriptions!O194="Payé",SUBSTITUTE(SUBSTITUTE(SUBSTITUTE(SUBSTITUTE(C5,"{MONTANT}",TEXT(Inscriptions!N194,"#,##0")&amp;" MRU"),"{PRENOM}",Inscriptions!C194),"{NOM}",Inscriptions!B194),"{PRESTATION}",E200),IF(AND(Inscriptions!S194&lt;&gt;"",Inscriptions!S194&gt;0),SUBSTITUTE(SUBSTITUTE(SUBSTITUTE(SUBSTITUTE(C4,"{MONTANT}",TEXT(Inscriptions!N194,"#,##0")&amp;" MRU"),"{PRENOM}",Inscriptions!C194),"{NOM}",Inscriptions!B194),"{RETARD}",TEXT(Inscriptions!S194,"0")),SUBSTITUTE(SUBSTITUTE(SUBSTITUTE(SUBSTITUTE(SUBSTITUTE(C3,"{MONTANT}",TEXT(Inscriptions!N194,"#,##0")&amp;" MRU"),"{PRENOM}",Inscriptions!C194),"{NOM}",Inscriptions!B194),"{PRESTATION}",E200),"{DATE_LIMITE}",IF(Inscriptions!R194="","non définie",TEXT(Inscriptions!R194,"DD/MM/YYYY"))))))</f>
        <v/>
      </c>
    </row>
    <row r="201" spans="1:10">
      <c r="A201" s="26" t="str">
        <f>IF(Inscriptions!B195="","",Inscriptions!A195)</f>
        <v/>
      </c>
      <c r="B201" s="26" t="str">
        <f>IF(Inscriptions!B195="","",Inscriptions!B195)</f>
        <v/>
      </c>
      <c r="C201" s="26" t="str">
        <f>IF(Inscriptions!B195="","",Inscriptions!C195)</f>
        <v/>
      </c>
      <c r="D201" s="26" t="str">
        <f>IF(Inscriptions!B195="","",Inscriptions!G195)</f>
        <v/>
      </c>
      <c r="E201" s="26" t="str">
        <f>IF(Inscriptions!B195="","",IF(AND(Inscriptions!I195="Oui",Inscriptions!J195="Oui"),"Football + Loisirs",IF(Inscriptions!I195="Oui","Football",IF(Inscriptions!J195="Oui","Centre Loisirs",""))))</f>
        <v/>
      </c>
      <c r="F201" s="26" t="str">
        <f>IF(Inscriptions!B195="","",Inscriptions!N195)</f>
        <v/>
      </c>
      <c r="G201" s="26" t="str">
        <f>IF(Inscriptions!B195="","",Inscriptions!O195)</f>
        <v/>
      </c>
      <c r="H201" s="26" t="str">
        <f>IF(Inscriptions!B195="","",IF(Inscriptions!S195="","—",Inscriptions!S195&amp;" j"))</f>
        <v/>
      </c>
      <c r="I201" s="26" t="str">
        <f>IF(Inscriptions!B195="","",IF(Inscriptions!O195="Payé","✅ Confirmation",IF(AND(Inscriptions!S195&lt;&gt;"",Inscriptions!S195&gt;0),"🔴 Retard","🟡 Rappel")))</f>
        <v/>
      </c>
      <c r="J201" s="27" t="str">
        <f>IF(Inscriptions!B195="","",IF(Inscriptions!O195="Payé",SUBSTITUTE(SUBSTITUTE(SUBSTITUTE(SUBSTITUTE(C5,"{MONTANT}",TEXT(Inscriptions!N195,"#,##0")&amp;" MRU"),"{PRENOM}",Inscriptions!C195),"{NOM}",Inscriptions!B195),"{PRESTATION}",E201),IF(AND(Inscriptions!S195&lt;&gt;"",Inscriptions!S195&gt;0),SUBSTITUTE(SUBSTITUTE(SUBSTITUTE(SUBSTITUTE(C4,"{MONTANT}",TEXT(Inscriptions!N195,"#,##0")&amp;" MRU"),"{PRENOM}",Inscriptions!C195),"{NOM}",Inscriptions!B195),"{RETARD}",TEXT(Inscriptions!S195,"0")),SUBSTITUTE(SUBSTITUTE(SUBSTITUTE(SUBSTITUTE(SUBSTITUTE(C3,"{MONTANT}",TEXT(Inscriptions!N195,"#,##0")&amp;" MRU"),"{PRENOM}",Inscriptions!C195),"{NOM}",Inscriptions!B195),"{PRESTATION}",E201),"{DATE_LIMITE}",IF(Inscriptions!R195="","non définie",TEXT(Inscriptions!R195,"DD/MM/YYYY"))))))</f>
        <v/>
      </c>
    </row>
    <row r="202" spans="1:10">
      <c r="A202" s="28" t="str">
        <f>IF(Inscriptions!B196="","",Inscriptions!A196)</f>
        <v/>
      </c>
      <c r="B202" s="28" t="str">
        <f>IF(Inscriptions!B196="","",Inscriptions!B196)</f>
        <v/>
      </c>
      <c r="C202" s="28" t="str">
        <f>IF(Inscriptions!B196="","",Inscriptions!C196)</f>
        <v/>
      </c>
      <c r="D202" s="28" t="str">
        <f>IF(Inscriptions!B196="","",Inscriptions!G196)</f>
        <v/>
      </c>
      <c r="E202" s="28" t="str">
        <f>IF(Inscriptions!B196="","",IF(AND(Inscriptions!I196="Oui",Inscriptions!J196="Oui"),"Football + Loisirs",IF(Inscriptions!I196="Oui","Football",IF(Inscriptions!J196="Oui","Centre Loisirs",""))))</f>
        <v/>
      </c>
      <c r="F202" s="28" t="str">
        <f>IF(Inscriptions!B196="","",Inscriptions!N196)</f>
        <v/>
      </c>
      <c r="G202" s="28" t="str">
        <f>IF(Inscriptions!B196="","",Inscriptions!O196)</f>
        <v/>
      </c>
      <c r="H202" s="28" t="str">
        <f>IF(Inscriptions!B196="","",IF(Inscriptions!S196="","—",Inscriptions!S196&amp;" j"))</f>
        <v/>
      </c>
      <c r="I202" s="28" t="str">
        <f>IF(Inscriptions!B196="","",IF(Inscriptions!O196="Payé","✅ Confirmation",IF(AND(Inscriptions!S196&lt;&gt;"",Inscriptions!S196&gt;0),"🔴 Retard","🟡 Rappel")))</f>
        <v/>
      </c>
      <c r="J202" s="29" t="str">
        <f>IF(Inscriptions!B196="","",IF(Inscriptions!O196="Payé",SUBSTITUTE(SUBSTITUTE(SUBSTITUTE(SUBSTITUTE(C5,"{MONTANT}",TEXT(Inscriptions!N196,"#,##0")&amp;" MRU"),"{PRENOM}",Inscriptions!C196),"{NOM}",Inscriptions!B196),"{PRESTATION}",E202),IF(AND(Inscriptions!S196&lt;&gt;"",Inscriptions!S196&gt;0),SUBSTITUTE(SUBSTITUTE(SUBSTITUTE(SUBSTITUTE(C4,"{MONTANT}",TEXT(Inscriptions!N196,"#,##0")&amp;" MRU"),"{PRENOM}",Inscriptions!C196),"{NOM}",Inscriptions!B196),"{RETARD}",TEXT(Inscriptions!S196,"0")),SUBSTITUTE(SUBSTITUTE(SUBSTITUTE(SUBSTITUTE(SUBSTITUTE(C3,"{MONTANT}",TEXT(Inscriptions!N196,"#,##0")&amp;" MRU"),"{PRENOM}",Inscriptions!C196),"{NOM}",Inscriptions!B196),"{PRESTATION}",E202),"{DATE_LIMITE}",IF(Inscriptions!R196="","non définie",TEXT(Inscriptions!R196,"DD/MM/YYYY"))))))</f>
        <v/>
      </c>
    </row>
    <row r="203" spans="1:10">
      <c r="A203" s="26" t="str">
        <f>IF(Inscriptions!B197="","",Inscriptions!A197)</f>
        <v/>
      </c>
      <c r="B203" s="26" t="str">
        <f>IF(Inscriptions!B197="","",Inscriptions!B197)</f>
        <v/>
      </c>
      <c r="C203" s="26" t="str">
        <f>IF(Inscriptions!B197="","",Inscriptions!C197)</f>
        <v/>
      </c>
      <c r="D203" s="26" t="str">
        <f>IF(Inscriptions!B197="","",Inscriptions!G197)</f>
        <v/>
      </c>
      <c r="E203" s="26" t="str">
        <f>IF(Inscriptions!B197="","",IF(AND(Inscriptions!I197="Oui",Inscriptions!J197="Oui"),"Football + Loisirs",IF(Inscriptions!I197="Oui","Football",IF(Inscriptions!J197="Oui","Centre Loisirs",""))))</f>
        <v/>
      </c>
      <c r="F203" s="26" t="str">
        <f>IF(Inscriptions!B197="","",Inscriptions!N197)</f>
        <v/>
      </c>
      <c r="G203" s="26" t="str">
        <f>IF(Inscriptions!B197="","",Inscriptions!O197)</f>
        <v/>
      </c>
      <c r="H203" s="26" t="str">
        <f>IF(Inscriptions!B197="","",IF(Inscriptions!S197="","—",Inscriptions!S197&amp;" j"))</f>
        <v/>
      </c>
      <c r="I203" s="26" t="str">
        <f>IF(Inscriptions!B197="","",IF(Inscriptions!O197="Payé","✅ Confirmation",IF(AND(Inscriptions!S197&lt;&gt;"",Inscriptions!S197&gt;0),"🔴 Retard","🟡 Rappel")))</f>
        <v/>
      </c>
      <c r="J203" s="27" t="str">
        <f>IF(Inscriptions!B197="","",IF(Inscriptions!O197="Payé",SUBSTITUTE(SUBSTITUTE(SUBSTITUTE(SUBSTITUTE(C5,"{MONTANT}",TEXT(Inscriptions!N197,"#,##0")&amp;" MRU"),"{PRENOM}",Inscriptions!C197),"{NOM}",Inscriptions!B197),"{PRESTATION}",E203),IF(AND(Inscriptions!S197&lt;&gt;"",Inscriptions!S197&gt;0),SUBSTITUTE(SUBSTITUTE(SUBSTITUTE(SUBSTITUTE(C4,"{MONTANT}",TEXT(Inscriptions!N197,"#,##0")&amp;" MRU"),"{PRENOM}",Inscriptions!C197),"{NOM}",Inscriptions!B197),"{RETARD}",TEXT(Inscriptions!S197,"0")),SUBSTITUTE(SUBSTITUTE(SUBSTITUTE(SUBSTITUTE(SUBSTITUTE(C3,"{MONTANT}",TEXT(Inscriptions!N197,"#,##0")&amp;" MRU"),"{PRENOM}",Inscriptions!C197),"{NOM}",Inscriptions!B197),"{PRESTATION}",E203),"{DATE_LIMITE}",IF(Inscriptions!R197="","non définie",TEXT(Inscriptions!R197,"DD/MM/YYYY"))))))</f>
        <v/>
      </c>
    </row>
    <row r="204" spans="1:10">
      <c r="A204" s="28" t="str">
        <f>IF(Inscriptions!B198="","",Inscriptions!A198)</f>
        <v/>
      </c>
      <c r="B204" s="28" t="str">
        <f>IF(Inscriptions!B198="","",Inscriptions!B198)</f>
        <v/>
      </c>
      <c r="C204" s="28" t="str">
        <f>IF(Inscriptions!B198="","",Inscriptions!C198)</f>
        <v/>
      </c>
      <c r="D204" s="28" t="str">
        <f>IF(Inscriptions!B198="","",Inscriptions!G198)</f>
        <v/>
      </c>
      <c r="E204" s="28" t="str">
        <f>IF(Inscriptions!B198="","",IF(AND(Inscriptions!I198="Oui",Inscriptions!J198="Oui"),"Football + Loisirs",IF(Inscriptions!I198="Oui","Football",IF(Inscriptions!J198="Oui","Centre Loisirs",""))))</f>
        <v/>
      </c>
      <c r="F204" s="28" t="str">
        <f>IF(Inscriptions!B198="","",Inscriptions!N198)</f>
        <v/>
      </c>
      <c r="G204" s="28" t="str">
        <f>IF(Inscriptions!B198="","",Inscriptions!O198)</f>
        <v/>
      </c>
      <c r="H204" s="28" t="str">
        <f>IF(Inscriptions!B198="","",IF(Inscriptions!S198="","—",Inscriptions!S198&amp;" j"))</f>
        <v/>
      </c>
      <c r="I204" s="28" t="str">
        <f>IF(Inscriptions!B198="","",IF(Inscriptions!O198="Payé","✅ Confirmation",IF(AND(Inscriptions!S198&lt;&gt;"",Inscriptions!S198&gt;0),"🔴 Retard","🟡 Rappel")))</f>
        <v/>
      </c>
      <c r="J204" s="29" t="str">
        <f>IF(Inscriptions!B198="","",IF(Inscriptions!O198="Payé",SUBSTITUTE(SUBSTITUTE(SUBSTITUTE(SUBSTITUTE(C5,"{MONTANT}",TEXT(Inscriptions!N198,"#,##0")&amp;" MRU"),"{PRENOM}",Inscriptions!C198),"{NOM}",Inscriptions!B198),"{PRESTATION}",E204),IF(AND(Inscriptions!S198&lt;&gt;"",Inscriptions!S198&gt;0),SUBSTITUTE(SUBSTITUTE(SUBSTITUTE(SUBSTITUTE(C4,"{MONTANT}",TEXT(Inscriptions!N198,"#,##0")&amp;" MRU"),"{PRENOM}",Inscriptions!C198),"{NOM}",Inscriptions!B198),"{RETARD}",TEXT(Inscriptions!S198,"0")),SUBSTITUTE(SUBSTITUTE(SUBSTITUTE(SUBSTITUTE(SUBSTITUTE(C3,"{MONTANT}",TEXT(Inscriptions!N198,"#,##0")&amp;" MRU"),"{PRENOM}",Inscriptions!C198),"{NOM}",Inscriptions!B198),"{PRESTATION}",E204),"{DATE_LIMITE}",IF(Inscriptions!R198="","non définie",TEXT(Inscriptions!R198,"DD/MM/YYYY"))))))</f>
        <v/>
      </c>
    </row>
    <row r="205" spans="1:10">
      <c r="A205" s="26" t="str">
        <f>IF(Inscriptions!B199="","",Inscriptions!A199)</f>
        <v/>
      </c>
      <c r="B205" s="26" t="str">
        <f>IF(Inscriptions!B199="","",Inscriptions!B199)</f>
        <v/>
      </c>
      <c r="C205" s="26" t="str">
        <f>IF(Inscriptions!B199="","",Inscriptions!C199)</f>
        <v/>
      </c>
      <c r="D205" s="26" t="str">
        <f>IF(Inscriptions!B199="","",Inscriptions!G199)</f>
        <v/>
      </c>
      <c r="E205" s="26" t="str">
        <f>IF(Inscriptions!B199="","",IF(AND(Inscriptions!I199="Oui",Inscriptions!J199="Oui"),"Football + Loisirs",IF(Inscriptions!I199="Oui","Football",IF(Inscriptions!J199="Oui","Centre Loisirs",""))))</f>
        <v/>
      </c>
      <c r="F205" s="26" t="str">
        <f>IF(Inscriptions!B199="","",Inscriptions!N199)</f>
        <v/>
      </c>
      <c r="G205" s="26" t="str">
        <f>IF(Inscriptions!B199="","",Inscriptions!O199)</f>
        <v/>
      </c>
      <c r="H205" s="26" t="str">
        <f>IF(Inscriptions!B199="","",IF(Inscriptions!S199="","—",Inscriptions!S199&amp;" j"))</f>
        <v/>
      </c>
      <c r="I205" s="26" t="str">
        <f>IF(Inscriptions!B199="","",IF(Inscriptions!O199="Payé","✅ Confirmation",IF(AND(Inscriptions!S199&lt;&gt;"",Inscriptions!S199&gt;0),"🔴 Retard","🟡 Rappel")))</f>
        <v/>
      </c>
      <c r="J205" s="27" t="str">
        <f>IF(Inscriptions!B199="","",IF(Inscriptions!O199="Payé",SUBSTITUTE(SUBSTITUTE(SUBSTITUTE(SUBSTITUTE(C5,"{MONTANT}",TEXT(Inscriptions!N199,"#,##0")&amp;" MRU"),"{PRENOM}",Inscriptions!C199),"{NOM}",Inscriptions!B199),"{PRESTATION}",E205),IF(AND(Inscriptions!S199&lt;&gt;"",Inscriptions!S199&gt;0),SUBSTITUTE(SUBSTITUTE(SUBSTITUTE(SUBSTITUTE(C4,"{MONTANT}",TEXT(Inscriptions!N199,"#,##0")&amp;" MRU"),"{PRENOM}",Inscriptions!C199),"{NOM}",Inscriptions!B199),"{RETARD}",TEXT(Inscriptions!S199,"0")),SUBSTITUTE(SUBSTITUTE(SUBSTITUTE(SUBSTITUTE(SUBSTITUTE(C3,"{MONTANT}",TEXT(Inscriptions!N199,"#,##0")&amp;" MRU"),"{PRENOM}",Inscriptions!C199),"{NOM}",Inscriptions!B199),"{PRESTATION}",E205),"{DATE_LIMITE}",IF(Inscriptions!R199="","non définie",TEXT(Inscriptions!R199,"DD/MM/YYYY"))))))</f>
        <v/>
      </c>
    </row>
    <row r="206" spans="1:10">
      <c r="A206" s="28" t="str">
        <f>IF(Inscriptions!B200="","",Inscriptions!A200)</f>
        <v/>
      </c>
      <c r="B206" s="28" t="str">
        <f>IF(Inscriptions!B200="","",Inscriptions!B200)</f>
        <v/>
      </c>
      <c r="C206" s="28" t="str">
        <f>IF(Inscriptions!B200="","",Inscriptions!C200)</f>
        <v/>
      </c>
      <c r="D206" s="28" t="str">
        <f>IF(Inscriptions!B200="","",Inscriptions!G200)</f>
        <v/>
      </c>
      <c r="E206" s="28" t="str">
        <f>IF(Inscriptions!B200="","",IF(AND(Inscriptions!I200="Oui",Inscriptions!J200="Oui"),"Football + Loisirs",IF(Inscriptions!I200="Oui","Football",IF(Inscriptions!J200="Oui","Centre Loisirs",""))))</f>
        <v/>
      </c>
      <c r="F206" s="28" t="str">
        <f>IF(Inscriptions!B200="","",Inscriptions!N200)</f>
        <v/>
      </c>
      <c r="G206" s="28" t="str">
        <f>IF(Inscriptions!B200="","",Inscriptions!O200)</f>
        <v/>
      </c>
      <c r="H206" s="28" t="str">
        <f>IF(Inscriptions!B200="","",IF(Inscriptions!S200="","—",Inscriptions!S200&amp;" j"))</f>
        <v/>
      </c>
      <c r="I206" s="28" t="str">
        <f>IF(Inscriptions!B200="","",IF(Inscriptions!O200="Payé","✅ Confirmation",IF(AND(Inscriptions!S200&lt;&gt;"",Inscriptions!S200&gt;0),"🔴 Retard","🟡 Rappel")))</f>
        <v/>
      </c>
      <c r="J206" s="29" t="str">
        <f>IF(Inscriptions!B200="","",IF(Inscriptions!O200="Payé",SUBSTITUTE(SUBSTITUTE(SUBSTITUTE(SUBSTITUTE(C5,"{MONTANT}",TEXT(Inscriptions!N200,"#,##0")&amp;" MRU"),"{PRENOM}",Inscriptions!C200),"{NOM}",Inscriptions!B200),"{PRESTATION}",E206),IF(AND(Inscriptions!S200&lt;&gt;"",Inscriptions!S200&gt;0),SUBSTITUTE(SUBSTITUTE(SUBSTITUTE(SUBSTITUTE(C4,"{MONTANT}",TEXT(Inscriptions!N200,"#,##0")&amp;" MRU"),"{PRENOM}",Inscriptions!C200),"{NOM}",Inscriptions!B200),"{RETARD}",TEXT(Inscriptions!S200,"0")),SUBSTITUTE(SUBSTITUTE(SUBSTITUTE(SUBSTITUTE(SUBSTITUTE(C3,"{MONTANT}",TEXT(Inscriptions!N200,"#,##0")&amp;" MRU"),"{PRENOM}",Inscriptions!C200),"{NOM}",Inscriptions!B200),"{PRESTATION}",E206),"{DATE_LIMITE}",IF(Inscriptions!R200="","non définie",TEXT(Inscriptions!R200,"DD/MM/YYYY"))))))</f>
        <v/>
      </c>
    </row>
    <row r="207" spans="1:10">
      <c r="A207" s="26" t="str">
        <f>IF(Inscriptions!B201="","",Inscriptions!A201)</f>
        <v/>
      </c>
      <c r="B207" s="26" t="str">
        <f>IF(Inscriptions!B201="","",Inscriptions!B201)</f>
        <v/>
      </c>
      <c r="C207" s="26" t="str">
        <f>IF(Inscriptions!B201="","",Inscriptions!C201)</f>
        <v/>
      </c>
      <c r="D207" s="26" t="str">
        <f>IF(Inscriptions!B201="","",Inscriptions!G201)</f>
        <v/>
      </c>
      <c r="E207" s="26" t="str">
        <f>IF(Inscriptions!B201="","",IF(AND(Inscriptions!I201="Oui",Inscriptions!J201="Oui"),"Football + Loisirs",IF(Inscriptions!I201="Oui","Football",IF(Inscriptions!J201="Oui","Centre Loisirs",""))))</f>
        <v/>
      </c>
      <c r="F207" s="26" t="str">
        <f>IF(Inscriptions!B201="","",Inscriptions!N201)</f>
        <v/>
      </c>
      <c r="G207" s="26" t="str">
        <f>IF(Inscriptions!B201="","",Inscriptions!O201)</f>
        <v/>
      </c>
      <c r="H207" s="26" t="str">
        <f>IF(Inscriptions!B201="","",IF(Inscriptions!S201="","—",Inscriptions!S201&amp;" j"))</f>
        <v/>
      </c>
      <c r="I207" s="26" t="str">
        <f>IF(Inscriptions!B201="","",IF(Inscriptions!O201="Payé","✅ Confirmation",IF(AND(Inscriptions!S201&lt;&gt;"",Inscriptions!S201&gt;0),"🔴 Retard","🟡 Rappel")))</f>
        <v/>
      </c>
      <c r="J207" s="27" t="str">
        <f>IF(Inscriptions!B201="","",IF(Inscriptions!O201="Payé",SUBSTITUTE(SUBSTITUTE(SUBSTITUTE(SUBSTITUTE(C5,"{MONTANT}",TEXT(Inscriptions!N201,"#,##0")&amp;" MRU"),"{PRENOM}",Inscriptions!C201),"{NOM}",Inscriptions!B201),"{PRESTATION}",E207),IF(AND(Inscriptions!S201&lt;&gt;"",Inscriptions!S201&gt;0),SUBSTITUTE(SUBSTITUTE(SUBSTITUTE(SUBSTITUTE(C4,"{MONTANT}",TEXT(Inscriptions!N201,"#,##0")&amp;" MRU"),"{PRENOM}",Inscriptions!C201),"{NOM}",Inscriptions!B201),"{RETARD}",TEXT(Inscriptions!S201,"0")),SUBSTITUTE(SUBSTITUTE(SUBSTITUTE(SUBSTITUTE(SUBSTITUTE(C3,"{MONTANT}",TEXT(Inscriptions!N201,"#,##0")&amp;" MRU"),"{PRENOM}",Inscriptions!C201),"{NOM}",Inscriptions!B201),"{PRESTATION}",E207),"{DATE_LIMITE}",IF(Inscriptions!R201="","non définie",TEXT(Inscriptions!R201,"DD/MM/YYYY"))))))</f>
        <v/>
      </c>
    </row>
    <row r="208" spans="1:10">
      <c r="A208" s="28" t="str">
        <f>IF(Inscriptions!B202="","",Inscriptions!A202)</f>
        <v/>
      </c>
      <c r="B208" s="28" t="str">
        <f>IF(Inscriptions!B202="","",Inscriptions!B202)</f>
        <v/>
      </c>
      <c r="C208" s="28" t="str">
        <f>IF(Inscriptions!B202="","",Inscriptions!C202)</f>
        <v/>
      </c>
      <c r="D208" s="28" t="str">
        <f>IF(Inscriptions!B202="","",Inscriptions!G202)</f>
        <v/>
      </c>
      <c r="E208" s="28" t="str">
        <f>IF(Inscriptions!B202="","",IF(AND(Inscriptions!I202="Oui",Inscriptions!J202="Oui"),"Football + Loisirs",IF(Inscriptions!I202="Oui","Football",IF(Inscriptions!J202="Oui","Centre Loisirs",""))))</f>
        <v/>
      </c>
      <c r="F208" s="28" t="str">
        <f>IF(Inscriptions!B202="","",Inscriptions!N202)</f>
        <v/>
      </c>
      <c r="G208" s="28" t="str">
        <f>IF(Inscriptions!B202="","",Inscriptions!O202)</f>
        <v/>
      </c>
      <c r="H208" s="28" t="str">
        <f>IF(Inscriptions!B202="","",IF(Inscriptions!S202="","—",Inscriptions!S202&amp;" j"))</f>
        <v/>
      </c>
      <c r="I208" s="28" t="str">
        <f>IF(Inscriptions!B202="","",IF(Inscriptions!O202="Payé","✅ Confirmation",IF(AND(Inscriptions!S202&lt;&gt;"",Inscriptions!S202&gt;0),"🔴 Retard","🟡 Rappel")))</f>
        <v/>
      </c>
      <c r="J208" s="29" t="str">
        <f>IF(Inscriptions!B202="","",IF(Inscriptions!O202="Payé",SUBSTITUTE(SUBSTITUTE(SUBSTITUTE(SUBSTITUTE(C5,"{MONTANT}",TEXT(Inscriptions!N202,"#,##0")&amp;" MRU"),"{PRENOM}",Inscriptions!C202),"{NOM}",Inscriptions!B202),"{PRESTATION}",E208),IF(AND(Inscriptions!S202&lt;&gt;"",Inscriptions!S202&gt;0),SUBSTITUTE(SUBSTITUTE(SUBSTITUTE(SUBSTITUTE(C4,"{MONTANT}",TEXT(Inscriptions!N202,"#,##0")&amp;" MRU"),"{PRENOM}",Inscriptions!C202),"{NOM}",Inscriptions!B202),"{RETARD}",TEXT(Inscriptions!S202,"0")),SUBSTITUTE(SUBSTITUTE(SUBSTITUTE(SUBSTITUTE(SUBSTITUTE(C3,"{MONTANT}",TEXT(Inscriptions!N202,"#,##0")&amp;" MRU"),"{PRENOM}",Inscriptions!C202),"{NOM}",Inscriptions!B202),"{PRESTATION}",E208),"{DATE_LIMITE}",IF(Inscriptions!R202="","non définie",TEXT(Inscriptions!R202,"DD/MM/YYYY"))))))</f>
        <v/>
      </c>
    </row>
  </sheetData>
  <mergeCells count="9">
    <mergeCell ref="A5:B5"/>
    <mergeCell ref="C5:J5"/>
    <mergeCell ref="A7:J7"/>
    <mergeCell ref="A1:J1"/>
    <mergeCell ref="A2:J2"/>
    <mergeCell ref="A3:B3"/>
    <mergeCell ref="C3:J3"/>
    <mergeCell ref="A4:B4"/>
    <mergeCell ref="C4:J4"/>
  </mergeCells>
  <conditionalFormatting sqref="G9:G209">
    <cfRule type="cellIs" dxfId="8" priority="5" operator="equal">
      <formula>"Payé"</formula>
    </cfRule>
    <cfRule type="cellIs" dxfId="7" priority="6" operator="equal">
      <formula>"En attente"</formula>
    </cfRule>
    <cfRule type="cellIs" dxfId="6" priority="7" operator="equal">
      <formula>"Partiel"</formula>
    </cfRule>
  </conditionalFormatting>
  <conditionalFormatting sqref="I9:I209">
    <cfRule type="cellIs" dxfId="5" priority="2" operator="equal">
      <formula>"🔴 Retard"</formula>
    </cfRule>
    <cfRule type="cellIs" dxfId="4" priority="3" operator="equal">
      <formula>"✅ Confirmation"</formula>
    </cfRule>
    <cfRule type="cellIs" dxfId="3" priority="4" operator="equal">
      <formula>"🟡 Rappel"</formula>
    </cfRule>
  </conditionalFormatting>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5E20"/>
    <pageSetUpPr fitToPage="1"/>
  </sheetPr>
  <dimension ref="A1:H34"/>
  <sheetViews>
    <sheetView topLeftCell="A38" zoomScale="70" zoomScaleNormal="70" workbookViewId="0">
      <selection activeCell="C3" sqref="C3"/>
    </sheetView>
  </sheetViews>
  <sheetFormatPr defaultColWidth="8.7109375" defaultRowHeight="14.45"/>
  <cols>
    <col min="1" max="8" width="14" style="1" customWidth="1"/>
  </cols>
  <sheetData>
    <row r="1" spans="1:8" ht="15" customHeight="1">
      <c r="A1" s="140" t="s">
        <v>406</v>
      </c>
      <c r="B1" s="140"/>
      <c r="C1" s="140"/>
      <c r="D1" s="140"/>
      <c r="E1" s="140"/>
      <c r="F1" s="140"/>
      <c r="G1" s="140"/>
      <c r="H1" s="140"/>
    </row>
    <row r="2" spans="1:8" ht="34.5" customHeight="1">
      <c r="A2" s="141" t="s">
        <v>407</v>
      </c>
      <c r="B2" s="141"/>
      <c r="C2" s="30">
        <v>8</v>
      </c>
      <c r="D2" s="142" t="str">
        <f>IF(INDEX(Inscriptions!B3:B202,C2)="","⚠️ Aucun inscrit à ce numéro","✅ " &amp; INDEX(Inscriptions!C3:C202,C2) &amp; " " &amp; INDEX(Inscriptions!B3:B202,C2))</f>
        <v>✅ Binta THIAM</v>
      </c>
      <c r="E2" s="142"/>
      <c r="F2" s="142"/>
      <c r="G2" s="142"/>
      <c r="H2" s="142"/>
    </row>
    <row r="3" spans="1:8" ht="7.15" customHeight="1">
      <c r="A3" s="31"/>
      <c r="B3" s="31"/>
      <c r="C3" s="31"/>
      <c r="D3" s="31"/>
      <c r="E3" s="31"/>
      <c r="F3" s="31"/>
      <c r="G3" s="31"/>
      <c r="H3" s="31"/>
    </row>
    <row r="4" spans="1:8" ht="34.5" customHeight="1">
      <c r="A4" s="143" t="s">
        <v>408</v>
      </c>
      <c r="B4" s="143"/>
      <c r="C4" s="143"/>
      <c r="D4" s="143"/>
      <c r="E4" s="143"/>
      <c r="F4" s="143"/>
      <c r="G4" s="143"/>
      <c r="H4" s="143"/>
    </row>
    <row r="5" spans="1:8" ht="15" customHeight="1">
      <c r="A5" s="144" t="s">
        <v>409</v>
      </c>
      <c r="B5" s="144"/>
      <c r="C5" s="144"/>
      <c r="D5" s="144"/>
      <c r="E5" s="144"/>
      <c r="F5" s="144"/>
      <c r="G5" s="144"/>
      <c r="H5" s="144"/>
    </row>
    <row r="6" spans="1:8" ht="3" customHeight="1">
      <c r="A6" s="32"/>
      <c r="B6" s="33"/>
      <c r="C6" s="33"/>
      <c r="D6" s="33"/>
      <c r="E6" s="33"/>
      <c r="F6" s="33"/>
      <c r="G6" s="33"/>
      <c r="H6" s="34"/>
    </row>
    <row r="7" spans="1:8" ht="30" customHeight="1">
      <c r="A7" s="136" t="s">
        <v>410</v>
      </c>
      <c r="B7" s="136"/>
      <c r="C7" s="136"/>
      <c r="D7" s="136"/>
      <c r="E7" s="136"/>
      <c r="F7" s="136"/>
      <c r="G7" s="136"/>
      <c r="H7" s="136"/>
    </row>
    <row r="8" spans="1:8" ht="24.75" customHeight="1">
      <c r="A8" s="137" t="str">
        <f>IF(INDEX(Inscriptions!B3:B202,C2)="","","Reçu N° : REC-" &amp; TEXT(C2,"0000"))</f>
        <v>Reçu N° : REC-0008</v>
      </c>
      <c r="B8" s="137"/>
      <c r="C8" s="137"/>
      <c r="D8" s="137"/>
      <c r="E8" s="138" t="str">
        <f ca="1">"Date : " &amp; TEXT(DAY(TODAY()),"00") &amp; "/" &amp; TEXT(MONTH(TODAY()),"00") &amp; "/" &amp; YEAR(TODAY())</f>
        <v>Date : 02/05/2026</v>
      </c>
      <c r="F8" s="138"/>
      <c r="G8" s="138"/>
      <c r="H8" s="138"/>
    </row>
    <row r="9" spans="1:8" ht="9.75" customHeight="1">
      <c r="A9" s="35"/>
      <c r="H9" s="36"/>
    </row>
    <row r="10" spans="1:8" ht="15" customHeight="1">
      <c r="A10" s="139" t="s">
        <v>411</v>
      </c>
      <c r="B10" s="139"/>
      <c r="C10" s="139"/>
      <c r="D10" s="139"/>
      <c r="E10" s="139"/>
      <c r="F10" s="139"/>
      <c r="G10" s="139"/>
      <c r="H10" s="139"/>
    </row>
    <row r="11" spans="1:8" ht="21.75" customHeight="1">
      <c r="A11" s="111" t="s">
        <v>412</v>
      </c>
      <c r="B11" s="111"/>
      <c r="C11" s="135" t="str">
        <f>INDEX(Inscriptions!B3:B202,C2)</f>
        <v>THIAM</v>
      </c>
      <c r="D11" s="135"/>
      <c r="E11" s="133" t="s">
        <v>413</v>
      </c>
      <c r="F11" s="133"/>
      <c r="G11" s="128" t="str">
        <f>INDEX(Inscriptions!C3:C202,C2)</f>
        <v>Binta</v>
      </c>
      <c r="H11" s="128"/>
    </row>
    <row r="12" spans="1:8" ht="21.75" customHeight="1">
      <c r="A12" s="111" t="s">
        <v>414</v>
      </c>
      <c r="B12" s="111"/>
      <c r="C12" s="132">
        <f>IF(INDEX(Inscriptions!D3:D202,C2)="","",INDEX(Inscriptions!D3:D202,C2))</f>
        <v>43426</v>
      </c>
      <c r="D12" s="132"/>
      <c r="E12" s="133" t="s">
        <v>415</v>
      </c>
      <c r="F12" s="133"/>
      <c r="G12" s="134">
        <f ca="1">INDEX(Inscriptions!E3:E202,C2)</f>
        <v>7</v>
      </c>
      <c r="H12" s="134"/>
    </row>
    <row r="13" spans="1:8" ht="21.75" customHeight="1">
      <c r="A13" s="111" t="s">
        <v>416</v>
      </c>
      <c r="B13" s="111"/>
      <c r="C13" s="135" t="str">
        <f>INDEX(Inscriptions!F3:F202,C2)</f>
        <v>F</v>
      </c>
      <c r="D13" s="135"/>
      <c r="E13" s="133" t="s">
        <v>417</v>
      </c>
      <c r="F13" s="133"/>
      <c r="G13" s="128" t="str">
        <f>INDEX(Inscriptions!G3:G202,C2)</f>
        <v>+222 41 53 98 46</v>
      </c>
      <c r="H13" s="128"/>
    </row>
    <row r="14" spans="1:8" ht="21.75" customHeight="1">
      <c r="A14" s="111" t="s">
        <v>418</v>
      </c>
      <c r="B14" s="111"/>
      <c r="C14" s="128" t="str">
        <f>INDEX(Inscriptions!H3:H202,C2)</f>
        <v>CITÉ PLAGE</v>
      </c>
      <c r="D14" s="128"/>
      <c r="E14" s="128"/>
      <c r="F14" s="128"/>
      <c r="G14" s="128"/>
      <c r="H14" s="128"/>
    </row>
    <row r="15" spans="1:8" ht="9.75" customHeight="1">
      <c r="A15" s="35"/>
      <c r="H15" s="36"/>
    </row>
    <row r="16" spans="1:8" ht="15" customHeight="1">
      <c r="A16" s="125" t="s">
        <v>419</v>
      </c>
      <c r="B16" s="125"/>
      <c r="C16" s="125"/>
      <c r="D16" s="125"/>
      <c r="E16" s="125"/>
      <c r="F16" s="125"/>
      <c r="G16" s="125"/>
      <c r="H16" s="125"/>
    </row>
    <row r="17" spans="1:8" ht="15" customHeight="1">
      <c r="A17" s="129" t="s">
        <v>400</v>
      </c>
      <c r="B17" s="129"/>
      <c r="C17" s="129"/>
      <c r="D17" s="130" t="s">
        <v>420</v>
      </c>
      <c r="E17" s="130"/>
      <c r="F17" s="85" t="s">
        <v>3</v>
      </c>
      <c r="G17" s="131" t="s">
        <v>421</v>
      </c>
      <c r="H17" s="131"/>
    </row>
    <row r="18" spans="1:8" ht="24.75" customHeight="1">
      <c r="A18" s="126" t="s">
        <v>422</v>
      </c>
      <c r="B18" s="126"/>
      <c r="C18" s="126"/>
      <c r="D18" s="127" t="str">
        <f>INDEX(Inscriptions!I3:I202,C2)</f>
        <v>Oui</v>
      </c>
      <c r="E18" s="127"/>
      <c r="F18" s="7" t="str">
        <f ca="1">INDEX(Inscriptions!K3:K202,C2)</f>
        <v>U9</v>
      </c>
      <c r="G18" s="112">
        <f>INDEX(Inscriptions!L3:L202,C2)</f>
        <v>1000</v>
      </c>
      <c r="H18" s="112"/>
    </row>
    <row r="19" spans="1:8" ht="24.75" customHeight="1">
      <c r="A19" s="126" t="s">
        <v>423</v>
      </c>
      <c r="B19" s="126"/>
      <c r="C19" s="126"/>
      <c r="D19" s="127" t="str">
        <f>INDEX(Inscriptions!J3:J202,C2)</f>
        <v>Non</v>
      </c>
      <c r="E19" s="127"/>
      <c r="F19" s="5"/>
      <c r="G19" s="112">
        <f>INDEX(Inscriptions!M3:M202,C2)</f>
        <v>0</v>
      </c>
      <c r="H19" s="112"/>
    </row>
    <row r="20" spans="1:8" ht="24.75" customHeight="1">
      <c r="A20" s="121" t="str">
        <f>IF(AND(INDEX(Inscriptions!I3:I202,C2)="Oui",INDEX(Inscriptions!J3:J202,C2)="Oui"),"🎁 Réduction combinée (" &amp; TEXT(Paramètres!D20,"0%") &amp; ")","")</f>
        <v/>
      </c>
      <c r="B20" s="121"/>
      <c r="C20" s="121"/>
      <c r="D20" s="121"/>
      <c r="E20" s="121"/>
      <c r="F20" s="121"/>
      <c r="G20" s="122" t="str">
        <f>IF(AND(INDEX(Inscriptions!I3:I202,C2)="Oui",INDEX(Inscriptions!J3:J202,C2)="Oui"),-(INDEX(Inscriptions!L3:L202,C2)+INDEX(Inscriptions!M3:M202,C2))*Paramètres!D20,"")</f>
        <v/>
      </c>
      <c r="H20" s="122"/>
    </row>
    <row r="21" spans="1:8" ht="4.5" customHeight="1">
      <c r="A21" s="32"/>
      <c r="B21" s="33"/>
      <c r="C21" s="33"/>
      <c r="D21" s="33"/>
      <c r="E21" s="33"/>
      <c r="F21" s="33"/>
      <c r="G21" s="33"/>
      <c r="H21" s="34"/>
    </row>
    <row r="22" spans="1:8" ht="34.5" customHeight="1">
      <c r="A22" s="123" t="s">
        <v>424</v>
      </c>
      <c r="B22" s="123"/>
      <c r="C22" s="123"/>
      <c r="D22" s="123"/>
      <c r="E22" s="123"/>
      <c r="F22" s="123"/>
      <c r="G22" s="124">
        <f>INDEX(Inscriptions!N3:N202,C2)</f>
        <v>1000</v>
      </c>
      <c r="H22" s="124"/>
    </row>
    <row r="23" spans="1:8" ht="9.75" customHeight="1">
      <c r="A23" s="35"/>
      <c r="H23" s="36"/>
    </row>
    <row r="24" spans="1:8" ht="15" customHeight="1">
      <c r="A24" s="125" t="s">
        <v>425</v>
      </c>
      <c r="B24" s="125"/>
      <c r="C24" s="125"/>
      <c r="D24" s="125"/>
      <c r="E24" s="125"/>
      <c r="F24" s="125"/>
      <c r="G24" s="125"/>
      <c r="H24" s="125"/>
    </row>
    <row r="25" spans="1:8" ht="30" customHeight="1">
      <c r="A25" s="117" t="s">
        <v>426</v>
      </c>
      <c r="B25" s="117"/>
      <c r="C25" s="117"/>
      <c r="D25" s="118" t="str">
        <f>INDEX(Inscriptions!O3:O202,C2)</f>
        <v>Partiel</v>
      </c>
      <c r="E25" s="118"/>
      <c r="F25" s="118"/>
      <c r="G25" s="118"/>
      <c r="H25" s="118"/>
    </row>
    <row r="26" spans="1:8" ht="15" customHeight="1">
      <c r="A26" s="111" t="s">
        <v>427</v>
      </c>
      <c r="B26" s="111"/>
      <c r="C26" s="111"/>
      <c r="D26" s="119">
        <f>IF(INDEX(Inscriptions!P3:P202,C2)="","—",INDEX(Inscriptions!P3:P202,C2))</f>
        <v>46119</v>
      </c>
      <c r="E26" s="119"/>
      <c r="F26" s="119"/>
      <c r="G26" s="119"/>
      <c r="H26" s="119"/>
    </row>
    <row r="27" spans="1:8" ht="24.75" customHeight="1">
      <c r="A27" s="111" t="s">
        <v>428</v>
      </c>
      <c r="B27" s="111"/>
      <c r="C27" s="111"/>
      <c r="D27" s="120" t="str">
        <f ca="1">INDEX(Inscriptions!T3:T202,C2)</f>
        <v>⏳ Pas de date</v>
      </c>
      <c r="E27" s="120"/>
      <c r="F27" s="120"/>
      <c r="G27" s="120"/>
      <c r="H27" s="120"/>
    </row>
    <row r="28" spans="1:8" ht="15" customHeight="1">
      <c r="A28" s="111" t="s">
        <v>429</v>
      </c>
      <c r="B28" s="111"/>
      <c r="C28" s="111"/>
      <c r="D28" s="112" t="str">
        <f ca="1">IF(INDEX(Inscriptions!S3:S202,C2)="","—",INDEX(Inscriptions!S3:S202,C2) &amp; " jour(s)")</f>
        <v>—</v>
      </c>
      <c r="E28" s="112"/>
      <c r="F28" s="112"/>
      <c r="G28" s="112"/>
      <c r="H28" s="112"/>
    </row>
    <row r="29" spans="1:8" ht="15" customHeight="1">
      <c r="A29" s="35"/>
      <c r="H29" s="36"/>
    </row>
    <row r="30" spans="1:8" ht="15" customHeight="1">
      <c r="A30" s="113" t="s">
        <v>430</v>
      </c>
      <c r="B30" s="113"/>
      <c r="C30" s="113"/>
      <c r="D30" s="113"/>
      <c r="E30" s="114" t="s">
        <v>431</v>
      </c>
      <c r="F30" s="114"/>
      <c r="G30" s="114"/>
      <c r="H30" s="114"/>
    </row>
    <row r="31" spans="1:8" ht="49.5" customHeight="1">
      <c r="A31" s="115"/>
      <c r="B31" s="115"/>
      <c r="C31" s="115"/>
      <c r="D31" s="115"/>
      <c r="E31" s="116"/>
      <c r="F31" s="116"/>
      <c r="G31" s="116"/>
      <c r="H31" s="116"/>
    </row>
    <row r="32" spans="1:8" ht="9.75" customHeight="1">
      <c r="A32" s="35"/>
      <c r="H32" s="36"/>
    </row>
    <row r="33" spans="1:8" ht="15" customHeight="1">
      <c r="A33" s="109" t="s">
        <v>432</v>
      </c>
      <c r="B33" s="109"/>
      <c r="C33" s="109"/>
      <c r="D33" s="109"/>
      <c r="E33" s="109"/>
      <c r="F33" s="109"/>
      <c r="G33" s="109"/>
      <c r="H33" s="109"/>
    </row>
    <row r="34" spans="1:8" ht="15" customHeight="1">
      <c r="A34" s="110" t="s">
        <v>433</v>
      </c>
      <c r="B34" s="110"/>
      <c r="C34" s="110"/>
      <c r="D34" s="110"/>
      <c r="E34" s="110"/>
      <c r="F34" s="110"/>
      <c r="G34" s="110"/>
      <c r="H34" s="110"/>
    </row>
  </sheetData>
  <mergeCells count="52">
    <mergeCell ref="A1:H1"/>
    <mergeCell ref="A2:B2"/>
    <mergeCell ref="D2:H2"/>
    <mergeCell ref="A4:H4"/>
    <mergeCell ref="A5:H5"/>
    <mergeCell ref="A7:H7"/>
    <mergeCell ref="A8:D8"/>
    <mergeCell ref="E8:H8"/>
    <mergeCell ref="A10:H10"/>
    <mergeCell ref="A11:B11"/>
    <mergeCell ref="C11:D11"/>
    <mergeCell ref="E11:F11"/>
    <mergeCell ref="G11:H11"/>
    <mergeCell ref="A12:B12"/>
    <mergeCell ref="C12:D12"/>
    <mergeCell ref="E12:F12"/>
    <mergeCell ref="G12:H12"/>
    <mergeCell ref="A13:B13"/>
    <mergeCell ref="C13:D13"/>
    <mergeCell ref="E13:F13"/>
    <mergeCell ref="G13:H13"/>
    <mergeCell ref="A14:B14"/>
    <mergeCell ref="C14:H14"/>
    <mergeCell ref="A16:H16"/>
    <mergeCell ref="A17:C17"/>
    <mergeCell ref="D17:E17"/>
    <mergeCell ref="G17:H17"/>
    <mergeCell ref="A18:C18"/>
    <mergeCell ref="D18:E18"/>
    <mergeCell ref="G18:H18"/>
    <mergeCell ref="A19:C19"/>
    <mergeCell ref="D19:E19"/>
    <mergeCell ref="G19:H19"/>
    <mergeCell ref="A20:F20"/>
    <mergeCell ref="G20:H20"/>
    <mergeCell ref="A22:F22"/>
    <mergeCell ref="G22:H22"/>
    <mergeCell ref="A24:H24"/>
    <mergeCell ref="A25:C25"/>
    <mergeCell ref="D25:H25"/>
    <mergeCell ref="A26:C26"/>
    <mergeCell ref="D26:H26"/>
    <mergeCell ref="A27:C27"/>
    <mergeCell ref="D27:H27"/>
    <mergeCell ref="A33:H33"/>
    <mergeCell ref="A34:H34"/>
    <mergeCell ref="A28:C28"/>
    <mergeCell ref="D28:H28"/>
    <mergeCell ref="A30:D30"/>
    <mergeCell ref="E30:H30"/>
    <mergeCell ref="A31:D31"/>
    <mergeCell ref="E31:H31"/>
  </mergeCells>
  <conditionalFormatting sqref="D25:H25">
    <cfRule type="cellIs" dxfId="2" priority="2" operator="equal">
      <formula>"Payé"</formula>
    </cfRule>
    <cfRule type="cellIs" dxfId="1" priority="3" operator="equal">
      <formula>"En attente"</formula>
    </cfRule>
    <cfRule type="cellIs" dxfId="0" priority="4" operator="equal">
      <formula>"Partiel"</formula>
    </cfRule>
  </conditionalFormatting>
  <dataValidations count="1">
    <dataValidation type="whole" showInputMessage="1" showErrorMessage="1" error="Entrez un numéro entre 1 et 200" prompt="Numéro de l'inscrit (1-200)" sqref="C2" xr:uid="{00000000-0002-0000-0400-000000000000}">
      <formula1>1</formula1>
      <formula2>200</formula2>
    </dataValidation>
  </dataValidations>
  <pageMargins left="0.5" right="0.5" top="0.4" bottom="0.4" header="0.511811023622047" footer="0.511811023622047"/>
  <pageSetup paperSize="9" scale="82"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2026-04-09T22:36:00Z</dcterms:created>
  <dcterms:modified xsi:type="dcterms:W3CDTF">2026-05-02T22:25:01Z</dcterms:modified>
  <cp:category/>
  <cp:contentStatus/>
</cp:coreProperties>
</file>